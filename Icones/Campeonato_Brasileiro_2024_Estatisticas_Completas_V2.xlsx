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205d5c276de95efa/Documentos/Área de Trabalho/"/>
    </mc:Choice>
  </mc:AlternateContent>
  <xr:revisionPtr revIDLastSave="8" documentId="11_ABBD03CC9725ABFC7096CE0EED7F42B34F60F123" xr6:coauthVersionLast="47" xr6:coauthVersionMax="47" xr10:uidLastSave="{769E3F4A-21A9-40F7-83BA-03134C848B7F}"/>
  <bookViews>
    <workbookView xWindow="-108" yWindow="-108" windowWidth="23256" windowHeight="12576" xr2:uid="{00000000-000D-0000-FFFF-FFFF00000000}"/>
  </bookViews>
  <sheets>
    <sheet name="Desempenho por Esquema Tático" sheetId="1" r:id="rId1"/>
    <sheet name="Classificação &amp; Tática" sheetId="2" r:id="rId2"/>
    <sheet name="Casa vs Visitante" sheetId="3" r:id="rId3"/>
    <sheet name="Público e Ren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G21" i="4"/>
  <c r="E21" i="4"/>
  <c r="H20" i="4"/>
  <c r="G20" i="4"/>
  <c r="E20" i="4"/>
  <c r="H19" i="4"/>
  <c r="G19" i="4"/>
  <c r="E19" i="4"/>
  <c r="H18" i="4"/>
  <c r="G18" i="4"/>
  <c r="E18" i="4"/>
  <c r="H17" i="4"/>
  <c r="G17" i="4"/>
  <c r="E17" i="4"/>
  <c r="H16" i="4"/>
  <c r="G16" i="4"/>
  <c r="E16" i="4"/>
  <c r="H15" i="4"/>
  <c r="G15" i="4"/>
  <c r="E15" i="4"/>
  <c r="H14" i="4"/>
  <c r="G14" i="4"/>
  <c r="E14" i="4"/>
  <c r="H13" i="4"/>
  <c r="G13" i="4"/>
  <c r="E13" i="4"/>
  <c r="H12" i="4"/>
  <c r="G12" i="4"/>
  <c r="E12" i="4"/>
  <c r="H11" i="4"/>
  <c r="G11" i="4"/>
  <c r="E11" i="4"/>
  <c r="H10" i="4"/>
  <c r="G10" i="4"/>
  <c r="E10" i="4"/>
  <c r="H9" i="4"/>
  <c r="G9" i="4"/>
  <c r="E9" i="4"/>
  <c r="H8" i="4"/>
  <c r="G8" i="4"/>
  <c r="E8" i="4"/>
  <c r="H7" i="4"/>
  <c r="G7" i="4"/>
  <c r="E7" i="4"/>
  <c r="H6" i="4"/>
  <c r="G6" i="4"/>
  <c r="E6" i="4"/>
  <c r="H5" i="4"/>
  <c r="G5" i="4"/>
  <c r="E5" i="4"/>
  <c r="H4" i="4"/>
  <c r="G4" i="4"/>
  <c r="E4" i="4"/>
  <c r="H3" i="4"/>
  <c r="G3" i="4"/>
  <c r="E3" i="4"/>
  <c r="H2" i="4"/>
  <c r="G2" i="4"/>
  <c r="E2" i="4"/>
  <c r="P21" i="3"/>
  <c r="Q21" i="3" s="1"/>
  <c r="J21" i="3"/>
  <c r="H21" i="3"/>
  <c r="B21" i="3"/>
  <c r="P20" i="3"/>
  <c r="Q20" i="3" s="1"/>
  <c r="J20" i="3"/>
  <c r="H20" i="3"/>
  <c r="B20" i="3"/>
  <c r="I20" i="3" s="1"/>
  <c r="P19" i="3"/>
  <c r="Q19" i="3" s="1"/>
  <c r="J19" i="3"/>
  <c r="H19" i="3"/>
  <c r="B19" i="3"/>
  <c r="P18" i="3"/>
  <c r="Q18" i="3" s="1"/>
  <c r="J18" i="3"/>
  <c r="H18" i="3"/>
  <c r="I18" i="3" s="1"/>
  <c r="B18" i="3"/>
  <c r="P17" i="3"/>
  <c r="J17" i="3"/>
  <c r="H17" i="3"/>
  <c r="I17" i="3" s="1"/>
  <c r="B17" i="3"/>
  <c r="P16" i="3"/>
  <c r="J16" i="3"/>
  <c r="H16" i="3"/>
  <c r="B16" i="3"/>
  <c r="I16" i="3" s="1"/>
  <c r="P15" i="3"/>
  <c r="J15" i="3"/>
  <c r="H15" i="3"/>
  <c r="I15" i="3" s="1"/>
  <c r="B15" i="3"/>
  <c r="P14" i="3"/>
  <c r="Q14" i="3" s="1"/>
  <c r="J14" i="3"/>
  <c r="H14" i="3"/>
  <c r="I14" i="3" s="1"/>
  <c r="B14" i="3"/>
  <c r="P13" i="3"/>
  <c r="J13" i="3"/>
  <c r="H13" i="3"/>
  <c r="B13" i="3"/>
  <c r="P12" i="3"/>
  <c r="J12" i="3"/>
  <c r="H12" i="3"/>
  <c r="B12" i="3"/>
  <c r="P11" i="3"/>
  <c r="J11" i="3"/>
  <c r="H11" i="3"/>
  <c r="I11" i="3" s="1"/>
  <c r="B11" i="3"/>
  <c r="P10" i="3"/>
  <c r="J10" i="3"/>
  <c r="H10" i="3"/>
  <c r="B10" i="3"/>
  <c r="I10" i="3" s="1"/>
  <c r="P9" i="3"/>
  <c r="Q9" i="3" s="1"/>
  <c r="J9" i="3"/>
  <c r="H9" i="3"/>
  <c r="I9" i="3" s="1"/>
  <c r="B9" i="3"/>
  <c r="P8" i="3"/>
  <c r="J8" i="3"/>
  <c r="H8" i="3"/>
  <c r="B8" i="3"/>
  <c r="I8" i="3" s="1"/>
  <c r="P7" i="3"/>
  <c r="Q7" i="3" s="1"/>
  <c r="J7" i="3"/>
  <c r="H7" i="3"/>
  <c r="I7" i="3" s="1"/>
  <c r="B7" i="3"/>
  <c r="P6" i="3"/>
  <c r="J6" i="3"/>
  <c r="H6" i="3"/>
  <c r="I6" i="3" s="1"/>
  <c r="B6" i="3"/>
  <c r="P5" i="3"/>
  <c r="J5" i="3"/>
  <c r="H5" i="3"/>
  <c r="B5" i="3"/>
  <c r="P4" i="3"/>
  <c r="Q4" i="3" s="1"/>
  <c r="J4" i="3"/>
  <c r="H4" i="3"/>
  <c r="B4" i="3"/>
  <c r="I4" i="3" s="1"/>
  <c r="P3" i="3"/>
  <c r="J3" i="3"/>
  <c r="H3" i="3"/>
  <c r="B3" i="3"/>
  <c r="P2" i="3"/>
  <c r="Q2" i="3" s="1"/>
  <c r="J2" i="3"/>
  <c r="H2" i="3"/>
  <c r="I2" i="3" s="1"/>
  <c r="B2" i="3"/>
  <c r="J21" i="2"/>
  <c r="C21" i="2"/>
  <c r="K21" i="2" s="1"/>
  <c r="J20" i="2"/>
  <c r="C20" i="2"/>
  <c r="K20" i="2" s="1"/>
  <c r="J19" i="2"/>
  <c r="C19" i="2"/>
  <c r="K19" i="2" s="1"/>
  <c r="J18" i="2"/>
  <c r="C18" i="2"/>
  <c r="K18" i="2" s="1"/>
  <c r="J17" i="2"/>
  <c r="C17" i="2"/>
  <c r="K17" i="2" s="1"/>
  <c r="J16" i="2"/>
  <c r="C16" i="2"/>
  <c r="K16" i="2" s="1"/>
  <c r="J15" i="2"/>
  <c r="C15" i="2"/>
  <c r="K15" i="2" s="1"/>
  <c r="J14" i="2"/>
  <c r="C14" i="2"/>
  <c r="K14" i="2" s="1"/>
  <c r="K13" i="2"/>
  <c r="J13" i="2"/>
  <c r="C13" i="2"/>
  <c r="J12" i="2"/>
  <c r="C12" i="2"/>
  <c r="K12" i="2" s="1"/>
  <c r="J11" i="2"/>
  <c r="C11" i="2"/>
  <c r="K11" i="2" s="1"/>
  <c r="J10" i="2"/>
  <c r="C10" i="2"/>
  <c r="K10" i="2" s="1"/>
  <c r="K9" i="2"/>
  <c r="J9" i="2"/>
  <c r="C9" i="2"/>
  <c r="J8" i="2"/>
  <c r="C8" i="2"/>
  <c r="K8" i="2" s="1"/>
  <c r="J7" i="2"/>
  <c r="C7" i="2"/>
  <c r="K7" i="2" s="1"/>
  <c r="K6" i="2"/>
  <c r="J6" i="2"/>
  <c r="C6" i="2"/>
  <c r="J5" i="2"/>
  <c r="C5" i="2"/>
  <c r="K5" i="2" s="1"/>
  <c r="J4" i="2"/>
  <c r="C4" i="2"/>
  <c r="K4" i="2" s="1"/>
  <c r="J3" i="2"/>
  <c r="C3" i="2"/>
  <c r="K3" i="2" s="1"/>
  <c r="J2" i="2"/>
  <c r="C2" i="2"/>
  <c r="K2" i="2" s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Q11" i="3" l="1"/>
  <c r="Q13" i="3"/>
  <c r="I19" i="3"/>
  <c r="I21" i="3"/>
  <c r="I12" i="3"/>
  <c r="Q15" i="3"/>
  <c r="Q17" i="3"/>
  <c r="Q6" i="3"/>
  <c r="Q8" i="3"/>
  <c r="I3" i="3"/>
  <c r="I5" i="3"/>
  <c r="Q10" i="3"/>
  <c r="Q12" i="3"/>
  <c r="Q16" i="3"/>
  <c r="Q3" i="3"/>
  <c r="Q5" i="3"/>
  <c r="I13" i="3"/>
</calcChain>
</file>

<file path=xl/sharedStrings.xml><?xml version="1.0" encoding="utf-8"?>
<sst xmlns="http://schemas.openxmlformats.org/spreadsheetml/2006/main" count="319" uniqueCount="176">
  <si>
    <t>Clube</t>
  </si>
  <si>
    <t>Formação Tática</t>
  </si>
  <si>
    <t>Jogos</t>
  </si>
  <si>
    <t>Vitórias (V)</t>
  </si>
  <si>
    <t>Empates (E)</t>
  </si>
  <si>
    <t>Derrotas (D)</t>
  </si>
  <si>
    <t>Gols Pró (GP)</t>
  </si>
  <si>
    <t>Gols Contra (GC)</t>
  </si>
  <si>
    <t>Saldo (SG)</t>
  </si>
  <si>
    <t>% Aproveitamento</t>
  </si>
  <si>
    <t>Observação / Contexto</t>
  </si>
  <si>
    <t>Botafogo</t>
  </si>
  <si>
    <t>4-2-3-1</t>
  </si>
  <si>
    <t>Formação titular principal / base do título</t>
  </si>
  <si>
    <t>4-3-3 / 4-2-4</t>
  </si>
  <si>
    <t>Usado para sufocar adversários e reverter placares</t>
  </si>
  <si>
    <t>Palmeiras</t>
  </si>
  <si>
    <t>Esquema principal com Estêvão e Felipe Anderson</t>
  </si>
  <si>
    <t>4-3-3</t>
  </si>
  <si>
    <t>Variação com meio-campo mais preenchido</t>
  </si>
  <si>
    <t>3-4-2-1</t>
  </si>
  <si>
    <t>Usado em clássicos e jogos decisivos fora</t>
  </si>
  <si>
    <t>Flamengo</t>
  </si>
  <si>
    <t>Período Tite / adaptação no meio</t>
  </si>
  <si>
    <t>Arrancada sob comando de Filipe Luís</t>
  </si>
  <si>
    <t>4-4-2 (Losango)</t>
  </si>
  <si>
    <t>Variação alternativa com dois centroavantes</t>
  </si>
  <si>
    <t>Fortaleza</t>
  </si>
  <si>
    <t>Modelo tradicional de Vojvoda no Castelão</t>
  </si>
  <si>
    <t>Postura mais cautelosa como visitante</t>
  </si>
  <si>
    <t>3-5-2</t>
  </si>
  <si>
    <t>Usado contra linhas de 5 adversárias</t>
  </si>
  <si>
    <t>Internacional</t>
  </si>
  <si>
    <t>Esquema consolidado com Roger Machado</t>
  </si>
  <si>
    <t>4-4-2</t>
  </si>
  <si>
    <t>Início de campeonato (Eduardo Coudet)</t>
  </si>
  <si>
    <t>São Paulo</t>
  </si>
  <si>
    <t>Formação base de Zubeldía</t>
  </si>
  <si>
    <t>3-5-2 / 5-3-2</t>
  </si>
  <si>
    <t>Utilizado em jogos fora de casa/copas</t>
  </si>
  <si>
    <t>Variação com três atacantes natos</t>
  </si>
  <si>
    <t>Corinthians</t>
  </si>
  <si>
    <t>Formação da recuperação com Ramón Díaz</t>
  </si>
  <si>
    <t>Período António Oliveira</t>
  </si>
  <si>
    <t>3-5-2 / 5-2-3</t>
  </si>
  <si>
    <t>Usado para encorpar o sistema defensivo</t>
  </si>
  <si>
    <t>Bahia</t>
  </si>
  <si>
    <t>Esquema principal de Rogério Ceni com posse</t>
  </si>
  <si>
    <t>Formação com meio de campo reforçado</t>
  </si>
  <si>
    <t>Cruzeiro</t>
  </si>
  <si>
    <t>Fase mais consistente com Seabra</t>
  </si>
  <si>
    <t>Transição/início de Fernando Diniz</t>
  </si>
  <si>
    <t>Variação de meio-campo</t>
  </si>
  <si>
    <t>Vasco da Gama</t>
  </si>
  <si>
    <t>Base tática de Rafael Paiva com Vegetti no pivô</t>
  </si>
  <si>
    <t>Esquema alternativo com dois pontas abertos</t>
  </si>
  <si>
    <t>Vitória</t>
  </si>
  <si>
    <t>Estilo agressivo no Barradão com Carpini</t>
  </si>
  <si>
    <t>Usado fora de casa para fechamento da zaga</t>
  </si>
  <si>
    <t>Esquema de transição</t>
  </si>
  <si>
    <t>Atlético-MG</t>
  </si>
  <si>
    <t>Esquema autoral de Gabriel Milito</t>
  </si>
  <si>
    <t>4-3-3 / 4-2-3-1</t>
  </si>
  <si>
    <t>Alternativa com linha de 4 zagueiros</t>
  </si>
  <si>
    <t>Escalação mista/preservação de titulares</t>
  </si>
  <si>
    <t>Fluminense</t>
  </si>
  <si>
    <t>Retomada defensiva com Mano Menezes</t>
  </si>
  <si>
    <t>4-3-3 (Posicional)</t>
  </si>
  <si>
    <t>Início do torneio com Diniz</t>
  </si>
  <si>
    <t>Grêmio</t>
  </si>
  <si>
    <t>Base tática de Renato Gaúcho</t>
  </si>
  <si>
    <t>Variação com pontas mais abertos</t>
  </si>
  <si>
    <t>Testado em momentos de crise defensiva</t>
  </si>
  <si>
    <t>Juventude</t>
  </si>
  <si>
    <t>Formação vertical em Caxias do Sul</t>
  </si>
  <si>
    <t>Postura reativa como visitante</t>
  </si>
  <si>
    <t>Red Bull Bragantino</t>
  </si>
  <si>
    <t>Estilo de alta pressão tradicional do clube</t>
  </si>
  <si>
    <t>Formação secundária</t>
  </si>
  <si>
    <t>Athletico-PR</t>
  </si>
  <si>
    <t>Esquema mais utilizado na temporada</t>
  </si>
  <si>
    <t>3-4-3 / 5-2-3</t>
  </si>
  <si>
    <t>Usado sob comando de Lucho González</t>
  </si>
  <si>
    <t>Início de campeonato com Cuca</t>
  </si>
  <si>
    <t>Criciúma</t>
  </si>
  <si>
    <t>4-4-2 (Duas Linhas)</t>
  </si>
  <si>
    <t>Base tática rígida de Cláudio Tencati</t>
  </si>
  <si>
    <t>Postura ofensiva pontual</t>
  </si>
  <si>
    <t>Atlético-GO</t>
  </si>
  <si>
    <t>Esquema mais utilizado</t>
  </si>
  <si>
    <t>Variação tática</t>
  </si>
  <si>
    <t>Cuiabá</t>
  </si>
  <si>
    <t>Esquema ofensivo principal</t>
  </si>
  <si>
    <t>5-3-2 / 3-5-2</t>
  </si>
  <si>
    <t>Linha de 5 zagueiros para segurar resultados</t>
  </si>
  <si>
    <t>Pos</t>
  </si>
  <si>
    <t>PTS</t>
  </si>
  <si>
    <t>J</t>
  </si>
  <si>
    <t>V</t>
  </si>
  <si>
    <t>E</t>
  </si>
  <si>
    <t>D</t>
  </si>
  <si>
    <t>GP</t>
  </si>
  <si>
    <t>GC</t>
  </si>
  <si>
    <t>SG</t>
  </si>
  <si>
    <t>Esquema Tático Principal</t>
  </si>
  <si>
    <t>Técnico(s) Principal(is)</t>
  </si>
  <si>
    <t>Artur Jorge</t>
  </si>
  <si>
    <t>4-2-3-1 / 4-3-3</t>
  </si>
  <si>
    <t>Abel Ferreira</t>
  </si>
  <si>
    <t>Tite / Filipe Luís</t>
  </si>
  <si>
    <t>Juan Pablo Vojvoda</t>
  </si>
  <si>
    <t>Roger Machado</t>
  </si>
  <si>
    <t>4-2-3-1 / 3-5-2</t>
  </si>
  <si>
    <t>Luis Zubeldía</t>
  </si>
  <si>
    <t>4-4-2 (Losango) / 4-3-3</t>
  </si>
  <si>
    <t>Ramón Díaz</t>
  </si>
  <si>
    <t>4-3-3 / 4-4-2</t>
  </si>
  <si>
    <t>Rogério Ceni</t>
  </si>
  <si>
    <t>Fernando Seabra / Diniz</t>
  </si>
  <si>
    <t>Rafael Paiva</t>
  </si>
  <si>
    <t>4-3-3 / 3-5-2</t>
  </si>
  <si>
    <t>Thiago Carpini</t>
  </si>
  <si>
    <t>3-4-2-1 / 4-3-3</t>
  </si>
  <si>
    <t>Gabriel Milito</t>
  </si>
  <si>
    <t>Mano Menezes</t>
  </si>
  <si>
    <t>Renato Gaúcho</t>
  </si>
  <si>
    <t>Jair Ventura</t>
  </si>
  <si>
    <t>Pedro Caixinha / Fernando Seabra</t>
  </si>
  <si>
    <t>4-2-3-1 / 3-4-3</t>
  </si>
  <si>
    <t>Lucho González</t>
  </si>
  <si>
    <t>Cláudio Tencati</t>
  </si>
  <si>
    <t>Umberto Louzer</t>
  </si>
  <si>
    <t>4-3-3 / 5-3-2</t>
  </si>
  <si>
    <t>Petit</t>
  </si>
  <si>
    <t>J (Casa)</t>
  </si>
  <si>
    <t>V (Casa)</t>
  </si>
  <si>
    <t>E (Casa)</t>
  </si>
  <si>
    <t>D (Casa)</t>
  </si>
  <si>
    <t>GP (Casa)</t>
  </si>
  <si>
    <t>GC (Casa)</t>
  </si>
  <si>
    <t>PTS (Casa)</t>
  </si>
  <si>
    <t>% Casa</t>
  </si>
  <si>
    <t>J (Fora)</t>
  </si>
  <si>
    <t>V (Fora)</t>
  </si>
  <si>
    <t>E (Fora)</t>
  </si>
  <si>
    <t>D (Fora)</t>
  </si>
  <si>
    <t>GP (Fora)</t>
  </si>
  <si>
    <t>GC (Fora)</t>
  </si>
  <si>
    <t>PTS (Fora)</t>
  </si>
  <si>
    <t>% Fora</t>
  </si>
  <si>
    <t>Estádio Principal</t>
  </si>
  <si>
    <t>Jogos Mandante</t>
  </si>
  <si>
    <t>Público Total (Mandante)</t>
  </si>
  <si>
    <t>Público Médio</t>
  </si>
  <si>
    <t>Renda Bruta Total (R$)</t>
  </si>
  <si>
    <t>Renda Média por Jogo (R$)</t>
  </si>
  <si>
    <t>Ticket Médio Estimado (R$)</t>
  </si>
  <si>
    <t>Maracanã</t>
  </si>
  <si>
    <t>Morumbis</t>
  </si>
  <si>
    <t>Neo Química Arena</t>
  </si>
  <si>
    <t>Allianz Parque</t>
  </si>
  <si>
    <t>Arena Fonte Nova</t>
  </si>
  <si>
    <t>Arena MRV</t>
  </si>
  <si>
    <t>Mineirão</t>
  </si>
  <si>
    <t>Nilton Santos</t>
  </si>
  <si>
    <t>Beira-Rio</t>
  </si>
  <si>
    <t>Arena Castelão</t>
  </si>
  <si>
    <t>São Januário</t>
  </si>
  <si>
    <t>Arena do Grêmio / Couto Pereira</t>
  </si>
  <si>
    <t>Barradão</t>
  </si>
  <si>
    <t>Ligga Arena</t>
  </si>
  <si>
    <t>Heriberto Hülse</t>
  </si>
  <si>
    <t>Alfredo Jaconi</t>
  </si>
  <si>
    <t>Nabi Abi Chedid</t>
  </si>
  <si>
    <t>Antonio Accioly</t>
  </si>
  <si>
    <t>Arena Pantanal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</si>
</sst>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A3" sqref="A3"/>
    </sheetView>
  </sheetViews>
  <sheetFormatPr defaultRowHeight="14.4" x14ac:dyDescent="0.3"/>
  <cols>
    <col min="1" max="1" width="20" customWidth="1"/>
    <col min="2" max="2" width="22" customWidth="1"/>
    <col min="3" max="3" width="12" customWidth="1"/>
    <col min="4" max="4" width="15" customWidth="1"/>
    <col min="5" max="5" width="14" customWidth="1"/>
    <col min="6" max="6" width="15" customWidth="1"/>
    <col min="7" max="7" width="16" customWidth="1"/>
    <col min="8" max="8" width="19" customWidth="1"/>
    <col min="9" max="9" width="13" customWidth="1"/>
    <col min="10" max="10" width="26" customWidth="1"/>
    <col min="11" max="11" width="45" customWidth="1"/>
  </cols>
  <sheetData>
    <row r="1" spans="1:11" ht="16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15" x14ac:dyDescent="0.35">
      <c r="A2" s="21" t="s">
        <v>11</v>
      </c>
      <c r="B2" s="3" t="s">
        <v>12</v>
      </c>
      <c r="C2" s="4">
        <v>26</v>
      </c>
      <c r="D2" s="4">
        <v>16</v>
      </c>
      <c r="E2" s="4">
        <v>6</v>
      </c>
      <c r="F2" s="4">
        <v>4</v>
      </c>
      <c r="G2" s="4">
        <v>41</v>
      </c>
      <c r="H2" s="4">
        <v>21</v>
      </c>
      <c r="I2" s="4">
        <f t="shared" ref="I2:I33" si="0">G2-H2</f>
        <v>20</v>
      </c>
      <c r="J2" s="5">
        <f t="shared" ref="J2:J33" si="1">(D2*3+E2)/(C2*3)</f>
        <v>0.69230769230769229</v>
      </c>
      <c r="K2" s="3" t="s">
        <v>13</v>
      </c>
    </row>
    <row r="3" spans="1:11" ht="15" x14ac:dyDescent="0.35">
      <c r="A3" s="21" t="s">
        <v>11</v>
      </c>
      <c r="B3" s="6" t="s">
        <v>14</v>
      </c>
      <c r="C3" s="7">
        <v>12</v>
      </c>
      <c r="D3" s="7">
        <v>7</v>
      </c>
      <c r="E3" s="7">
        <v>4</v>
      </c>
      <c r="F3" s="7">
        <v>1</v>
      </c>
      <c r="G3" s="7">
        <v>18</v>
      </c>
      <c r="H3" s="7">
        <v>10</v>
      </c>
      <c r="I3" s="7">
        <f t="shared" si="0"/>
        <v>8</v>
      </c>
      <c r="J3" s="8">
        <f t="shared" si="1"/>
        <v>0.69444444444444442</v>
      </c>
      <c r="K3" s="6" t="s">
        <v>15</v>
      </c>
    </row>
    <row r="4" spans="1:11" ht="15" x14ac:dyDescent="0.35">
      <c r="A4" s="3" t="s">
        <v>16</v>
      </c>
      <c r="B4" s="3" t="s">
        <v>12</v>
      </c>
      <c r="C4" s="4">
        <v>24</v>
      </c>
      <c r="D4" s="4">
        <v>15</v>
      </c>
      <c r="E4" s="4">
        <v>4</v>
      </c>
      <c r="F4" s="4">
        <v>5</v>
      </c>
      <c r="G4" s="4">
        <v>42</v>
      </c>
      <c r="H4" s="4">
        <v>20</v>
      </c>
      <c r="I4" s="4">
        <f t="shared" si="0"/>
        <v>22</v>
      </c>
      <c r="J4" s="5">
        <f t="shared" si="1"/>
        <v>0.68055555555555558</v>
      </c>
      <c r="K4" s="3" t="s">
        <v>17</v>
      </c>
    </row>
    <row r="5" spans="1:11" ht="15" x14ac:dyDescent="0.35">
      <c r="A5" s="6" t="s">
        <v>16</v>
      </c>
      <c r="B5" s="6" t="s">
        <v>18</v>
      </c>
      <c r="C5" s="7">
        <v>10</v>
      </c>
      <c r="D5" s="7">
        <v>6</v>
      </c>
      <c r="E5" s="7">
        <v>2</v>
      </c>
      <c r="F5" s="7">
        <v>2</v>
      </c>
      <c r="G5" s="7">
        <v>17</v>
      </c>
      <c r="H5" s="7">
        <v>9</v>
      </c>
      <c r="I5" s="7">
        <f t="shared" si="0"/>
        <v>8</v>
      </c>
      <c r="J5" s="8">
        <f t="shared" si="1"/>
        <v>0.66666666666666663</v>
      </c>
      <c r="K5" s="6" t="s">
        <v>19</v>
      </c>
    </row>
    <row r="6" spans="1:11" ht="15" x14ac:dyDescent="0.35">
      <c r="A6" s="3" t="s">
        <v>16</v>
      </c>
      <c r="B6" s="3" t="s">
        <v>20</v>
      </c>
      <c r="C6" s="4">
        <v>4</v>
      </c>
      <c r="D6" s="4">
        <v>2</v>
      </c>
      <c r="E6" s="4">
        <v>1</v>
      </c>
      <c r="F6" s="4">
        <v>1</v>
      </c>
      <c r="G6" s="4">
        <v>5</v>
      </c>
      <c r="H6" s="4">
        <v>4</v>
      </c>
      <c r="I6" s="4">
        <f t="shared" si="0"/>
        <v>1</v>
      </c>
      <c r="J6" s="5">
        <f t="shared" si="1"/>
        <v>0.58333333333333337</v>
      </c>
      <c r="K6" s="3" t="s">
        <v>21</v>
      </c>
    </row>
    <row r="7" spans="1:11" ht="15" x14ac:dyDescent="0.35">
      <c r="A7" s="6" t="s">
        <v>22</v>
      </c>
      <c r="B7" s="6" t="s">
        <v>12</v>
      </c>
      <c r="C7" s="7">
        <v>22</v>
      </c>
      <c r="D7" s="7">
        <v>11</v>
      </c>
      <c r="E7" s="7">
        <v>7</v>
      </c>
      <c r="F7" s="7">
        <v>4</v>
      </c>
      <c r="G7" s="7">
        <v>33</v>
      </c>
      <c r="H7" s="7">
        <v>25</v>
      </c>
      <c r="I7" s="7">
        <f t="shared" si="0"/>
        <v>8</v>
      </c>
      <c r="J7" s="8">
        <f t="shared" si="1"/>
        <v>0.60606060606060608</v>
      </c>
      <c r="K7" s="6" t="s">
        <v>23</v>
      </c>
    </row>
    <row r="8" spans="1:11" ht="15" x14ac:dyDescent="0.35">
      <c r="A8" s="3" t="s">
        <v>22</v>
      </c>
      <c r="B8" s="3" t="s">
        <v>18</v>
      </c>
      <c r="C8" s="4">
        <v>12</v>
      </c>
      <c r="D8" s="4">
        <v>7</v>
      </c>
      <c r="E8" s="4">
        <v>2</v>
      </c>
      <c r="F8" s="4">
        <v>3</v>
      </c>
      <c r="G8" s="4">
        <v>21</v>
      </c>
      <c r="H8" s="4">
        <v>13</v>
      </c>
      <c r="I8" s="4">
        <f t="shared" si="0"/>
        <v>8</v>
      </c>
      <c r="J8" s="5">
        <f t="shared" si="1"/>
        <v>0.63888888888888884</v>
      </c>
      <c r="K8" s="3" t="s">
        <v>24</v>
      </c>
    </row>
    <row r="9" spans="1:11" ht="15" x14ac:dyDescent="0.35">
      <c r="A9" s="6" t="s">
        <v>22</v>
      </c>
      <c r="B9" s="6" t="s">
        <v>25</v>
      </c>
      <c r="C9" s="7">
        <v>4</v>
      </c>
      <c r="D9" s="7">
        <v>2</v>
      </c>
      <c r="E9" s="7">
        <v>1</v>
      </c>
      <c r="F9" s="7">
        <v>1</v>
      </c>
      <c r="G9" s="7">
        <v>5</v>
      </c>
      <c r="H9" s="7">
        <v>4</v>
      </c>
      <c r="I9" s="7">
        <f t="shared" si="0"/>
        <v>1</v>
      </c>
      <c r="J9" s="8">
        <f t="shared" si="1"/>
        <v>0.58333333333333337</v>
      </c>
      <c r="K9" s="6" t="s">
        <v>26</v>
      </c>
    </row>
    <row r="10" spans="1:11" ht="15" x14ac:dyDescent="0.35">
      <c r="A10" s="3" t="s">
        <v>27</v>
      </c>
      <c r="B10" s="3" t="s">
        <v>18</v>
      </c>
      <c r="C10" s="4">
        <v>22</v>
      </c>
      <c r="D10" s="4">
        <v>12</v>
      </c>
      <c r="E10" s="4">
        <v>6</v>
      </c>
      <c r="F10" s="4">
        <v>4</v>
      </c>
      <c r="G10" s="4">
        <v>34</v>
      </c>
      <c r="H10" s="4">
        <v>22</v>
      </c>
      <c r="I10" s="4">
        <f t="shared" si="0"/>
        <v>12</v>
      </c>
      <c r="J10" s="5">
        <f t="shared" si="1"/>
        <v>0.63636363636363635</v>
      </c>
      <c r="K10" s="3" t="s">
        <v>28</v>
      </c>
    </row>
    <row r="11" spans="1:11" ht="15" x14ac:dyDescent="0.35">
      <c r="A11" s="6" t="s">
        <v>27</v>
      </c>
      <c r="B11" s="6" t="s">
        <v>12</v>
      </c>
      <c r="C11" s="7">
        <v>12</v>
      </c>
      <c r="D11" s="7">
        <v>6</v>
      </c>
      <c r="E11" s="7">
        <v>4</v>
      </c>
      <c r="F11" s="7">
        <v>2</v>
      </c>
      <c r="G11" s="7">
        <v>18</v>
      </c>
      <c r="H11" s="7">
        <v>12</v>
      </c>
      <c r="I11" s="7">
        <f t="shared" si="0"/>
        <v>6</v>
      </c>
      <c r="J11" s="8">
        <f t="shared" si="1"/>
        <v>0.61111111111111116</v>
      </c>
      <c r="K11" s="6" t="s">
        <v>29</v>
      </c>
    </row>
    <row r="12" spans="1:11" ht="15" x14ac:dyDescent="0.35">
      <c r="A12" s="3" t="s">
        <v>27</v>
      </c>
      <c r="B12" s="3" t="s">
        <v>30</v>
      </c>
      <c r="C12" s="4">
        <v>4</v>
      </c>
      <c r="D12" s="4">
        <v>1</v>
      </c>
      <c r="E12" s="4">
        <v>1</v>
      </c>
      <c r="F12" s="4">
        <v>2</v>
      </c>
      <c r="G12" s="4">
        <v>4</v>
      </c>
      <c r="H12" s="4">
        <v>5</v>
      </c>
      <c r="I12" s="4">
        <f t="shared" si="0"/>
        <v>-1</v>
      </c>
      <c r="J12" s="5">
        <f t="shared" si="1"/>
        <v>0.33333333333333331</v>
      </c>
      <c r="K12" s="3" t="s">
        <v>31</v>
      </c>
    </row>
    <row r="13" spans="1:11" ht="15" x14ac:dyDescent="0.35">
      <c r="A13" s="6" t="s">
        <v>32</v>
      </c>
      <c r="B13" s="6" t="s">
        <v>12</v>
      </c>
      <c r="C13" s="7">
        <v>28</v>
      </c>
      <c r="D13" s="7">
        <v>15</v>
      </c>
      <c r="E13" s="7">
        <v>8</v>
      </c>
      <c r="F13" s="7">
        <v>5</v>
      </c>
      <c r="G13" s="7">
        <v>43</v>
      </c>
      <c r="H13" s="7">
        <v>24</v>
      </c>
      <c r="I13" s="7">
        <f t="shared" si="0"/>
        <v>19</v>
      </c>
      <c r="J13" s="8">
        <f t="shared" si="1"/>
        <v>0.63095238095238093</v>
      </c>
      <c r="K13" s="6" t="s">
        <v>33</v>
      </c>
    </row>
    <row r="14" spans="1:11" ht="15" x14ac:dyDescent="0.35">
      <c r="A14" s="3" t="s">
        <v>32</v>
      </c>
      <c r="B14" s="3" t="s">
        <v>34</v>
      </c>
      <c r="C14" s="4">
        <v>10</v>
      </c>
      <c r="D14" s="4">
        <v>3</v>
      </c>
      <c r="E14" s="4">
        <v>3</v>
      </c>
      <c r="F14" s="4">
        <v>4</v>
      </c>
      <c r="G14" s="4">
        <v>13</v>
      </c>
      <c r="H14" s="4">
        <v>13</v>
      </c>
      <c r="I14" s="4">
        <f t="shared" si="0"/>
        <v>0</v>
      </c>
      <c r="J14" s="5">
        <f t="shared" si="1"/>
        <v>0.4</v>
      </c>
      <c r="K14" s="3" t="s">
        <v>35</v>
      </c>
    </row>
    <row r="15" spans="1:11" ht="15" x14ac:dyDescent="0.35">
      <c r="A15" s="6" t="s">
        <v>36</v>
      </c>
      <c r="B15" s="6" t="s">
        <v>12</v>
      </c>
      <c r="C15" s="7">
        <v>24</v>
      </c>
      <c r="D15" s="7">
        <v>12</v>
      </c>
      <c r="E15" s="7">
        <v>4</v>
      </c>
      <c r="F15" s="7">
        <v>8</v>
      </c>
      <c r="G15" s="7">
        <v>35</v>
      </c>
      <c r="H15" s="7">
        <v>26</v>
      </c>
      <c r="I15" s="7">
        <f t="shared" si="0"/>
        <v>9</v>
      </c>
      <c r="J15" s="8">
        <f t="shared" si="1"/>
        <v>0.55555555555555558</v>
      </c>
      <c r="K15" s="6" t="s">
        <v>37</v>
      </c>
    </row>
    <row r="16" spans="1:11" ht="15" x14ac:dyDescent="0.35">
      <c r="A16" s="3" t="s">
        <v>36</v>
      </c>
      <c r="B16" s="3" t="s">
        <v>38</v>
      </c>
      <c r="C16" s="4">
        <v>10</v>
      </c>
      <c r="D16" s="4">
        <v>4</v>
      </c>
      <c r="E16" s="4">
        <v>3</v>
      </c>
      <c r="F16" s="4">
        <v>3</v>
      </c>
      <c r="G16" s="4">
        <v>13</v>
      </c>
      <c r="H16" s="4">
        <v>11</v>
      </c>
      <c r="I16" s="4">
        <f t="shared" si="0"/>
        <v>2</v>
      </c>
      <c r="J16" s="5">
        <f t="shared" si="1"/>
        <v>0.5</v>
      </c>
      <c r="K16" s="3" t="s">
        <v>39</v>
      </c>
    </row>
    <row r="17" spans="1:11" ht="15" x14ac:dyDescent="0.35">
      <c r="A17" s="6" t="s">
        <v>36</v>
      </c>
      <c r="B17" s="6" t="s">
        <v>18</v>
      </c>
      <c r="C17" s="7">
        <v>4</v>
      </c>
      <c r="D17" s="7">
        <v>1</v>
      </c>
      <c r="E17" s="7">
        <v>1</v>
      </c>
      <c r="F17" s="7">
        <v>2</v>
      </c>
      <c r="G17" s="7">
        <v>5</v>
      </c>
      <c r="H17" s="7">
        <v>6</v>
      </c>
      <c r="I17" s="7">
        <f t="shared" si="0"/>
        <v>-1</v>
      </c>
      <c r="J17" s="8">
        <f t="shared" si="1"/>
        <v>0.33333333333333331</v>
      </c>
      <c r="K17" s="6" t="s">
        <v>40</v>
      </c>
    </row>
    <row r="18" spans="1:11" ht="15" x14ac:dyDescent="0.35">
      <c r="A18" s="3" t="s">
        <v>41</v>
      </c>
      <c r="B18" s="3" t="s">
        <v>25</v>
      </c>
      <c r="C18" s="4">
        <v>16</v>
      </c>
      <c r="D18" s="4">
        <v>8</v>
      </c>
      <c r="E18" s="4">
        <v>5</v>
      </c>
      <c r="F18" s="4">
        <v>3</v>
      </c>
      <c r="G18" s="4">
        <v>26</v>
      </c>
      <c r="H18" s="4">
        <v>17</v>
      </c>
      <c r="I18" s="4">
        <f t="shared" si="0"/>
        <v>9</v>
      </c>
      <c r="J18" s="5">
        <f t="shared" si="1"/>
        <v>0.60416666666666663</v>
      </c>
      <c r="K18" s="3" t="s">
        <v>42</v>
      </c>
    </row>
    <row r="19" spans="1:11" ht="15" x14ac:dyDescent="0.35">
      <c r="A19" s="6" t="s">
        <v>41</v>
      </c>
      <c r="B19" s="6" t="s">
        <v>18</v>
      </c>
      <c r="C19" s="7">
        <v>14</v>
      </c>
      <c r="D19" s="7">
        <v>4</v>
      </c>
      <c r="E19" s="7">
        <v>4</v>
      </c>
      <c r="F19" s="7">
        <v>6</v>
      </c>
      <c r="G19" s="7">
        <v>17</v>
      </c>
      <c r="H19" s="7">
        <v>20</v>
      </c>
      <c r="I19" s="7">
        <f t="shared" si="0"/>
        <v>-3</v>
      </c>
      <c r="J19" s="8">
        <f t="shared" si="1"/>
        <v>0.38095238095238093</v>
      </c>
      <c r="K19" s="6" t="s">
        <v>43</v>
      </c>
    </row>
    <row r="20" spans="1:11" ht="15" x14ac:dyDescent="0.35">
      <c r="A20" s="3" t="s">
        <v>41</v>
      </c>
      <c r="B20" s="3" t="s">
        <v>44</v>
      </c>
      <c r="C20" s="4">
        <v>8</v>
      </c>
      <c r="D20" s="4">
        <v>3</v>
      </c>
      <c r="E20" s="4">
        <v>2</v>
      </c>
      <c r="F20" s="4">
        <v>3</v>
      </c>
      <c r="G20" s="4">
        <v>10</v>
      </c>
      <c r="H20" s="4">
        <v>10</v>
      </c>
      <c r="I20" s="4">
        <f t="shared" si="0"/>
        <v>0</v>
      </c>
      <c r="J20" s="5">
        <f t="shared" si="1"/>
        <v>0.45833333333333331</v>
      </c>
      <c r="K20" s="3" t="s">
        <v>45</v>
      </c>
    </row>
    <row r="21" spans="1:11" ht="15" x14ac:dyDescent="0.35">
      <c r="A21" s="6" t="s">
        <v>46</v>
      </c>
      <c r="B21" s="6" t="s">
        <v>18</v>
      </c>
      <c r="C21" s="7">
        <v>26</v>
      </c>
      <c r="D21" s="7">
        <v>11</v>
      </c>
      <c r="E21" s="7">
        <v>5</v>
      </c>
      <c r="F21" s="7">
        <v>10</v>
      </c>
      <c r="G21" s="7">
        <v>34</v>
      </c>
      <c r="H21" s="7">
        <v>30</v>
      </c>
      <c r="I21" s="7">
        <f t="shared" si="0"/>
        <v>4</v>
      </c>
      <c r="J21" s="8">
        <f t="shared" si="1"/>
        <v>0.48717948717948717</v>
      </c>
      <c r="K21" s="6" t="s">
        <v>47</v>
      </c>
    </row>
    <row r="22" spans="1:11" ht="15" x14ac:dyDescent="0.35">
      <c r="A22" s="3" t="s">
        <v>46</v>
      </c>
      <c r="B22" s="3" t="s">
        <v>34</v>
      </c>
      <c r="C22" s="4">
        <v>12</v>
      </c>
      <c r="D22" s="4">
        <v>4</v>
      </c>
      <c r="E22" s="4">
        <v>3</v>
      </c>
      <c r="F22" s="4">
        <v>5</v>
      </c>
      <c r="G22" s="4">
        <v>15</v>
      </c>
      <c r="H22" s="4">
        <v>16</v>
      </c>
      <c r="I22" s="4">
        <f t="shared" si="0"/>
        <v>-1</v>
      </c>
      <c r="J22" s="5">
        <f t="shared" si="1"/>
        <v>0.41666666666666669</v>
      </c>
      <c r="K22" s="3" t="s">
        <v>48</v>
      </c>
    </row>
    <row r="23" spans="1:11" ht="15" x14ac:dyDescent="0.35">
      <c r="A23" s="6" t="s">
        <v>49</v>
      </c>
      <c r="B23" s="6" t="s">
        <v>12</v>
      </c>
      <c r="C23" s="7">
        <v>24</v>
      </c>
      <c r="D23" s="7">
        <v>10</v>
      </c>
      <c r="E23" s="7">
        <v>7</v>
      </c>
      <c r="F23" s="7">
        <v>7</v>
      </c>
      <c r="G23" s="7">
        <v>28</v>
      </c>
      <c r="H23" s="7">
        <v>23</v>
      </c>
      <c r="I23" s="7">
        <f t="shared" si="0"/>
        <v>5</v>
      </c>
      <c r="J23" s="8">
        <f t="shared" si="1"/>
        <v>0.51388888888888884</v>
      </c>
      <c r="K23" s="6" t="s">
        <v>50</v>
      </c>
    </row>
    <row r="24" spans="1:11" ht="15" x14ac:dyDescent="0.35">
      <c r="A24" s="3" t="s">
        <v>49</v>
      </c>
      <c r="B24" s="3" t="s">
        <v>18</v>
      </c>
      <c r="C24" s="4">
        <v>10</v>
      </c>
      <c r="D24" s="4">
        <v>3</v>
      </c>
      <c r="E24" s="4">
        <v>2</v>
      </c>
      <c r="F24" s="4">
        <v>5</v>
      </c>
      <c r="G24" s="4">
        <v>11</v>
      </c>
      <c r="H24" s="4">
        <v>13</v>
      </c>
      <c r="I24" s="4">
        <f t="shared" si="0"/>
        <v>-2</v>
      </c>
      <c r="J24" s="5">
        <f t="shared" si="1"/>
        <v>0.36666666666666664</v>
      </c>
      <c r="K24" s="3" t="s">
        <v>51</v>
      </c>
    </row>
    <row r="25" spans="1:11" ht="15" x14ac:dyDescent="0.35">
      <c r="A25" s="6" t="s">
        <v>49</v>
      </c>
      <c r="B25" s="6" t="s">
        <v>34</v>
      </c>
      <c r="C25" s="7">
        <v>4</v>
      </c>
      <c r="D25" s="7">
        <v>1</v>
      </c>
      <c r="E25" s="7">
        <v>1</v>
      </c>
      <c r="F25" s="7">
        <v>2</v>
      </c>
      <c r="G25" s="7">
        <v>4</v>
      </c>
      <c r="H25" s="7">
        <v>5</v>
      </c>
      <c r="I25" s="7">
        <f t="shared" si="0"/>
        <v>-1</v>
      </c>
      <c r="J25" s="8">
        <f t="shared" si="1"/>
        <v>0.33333333333333331</v>
      </c>
      <c r="K25" s="6" t="s">
        <v>52</v>
      </c>
    </row>
    <row r="26" spans="1:11" ht="15" x14ac:dyDescent="0.35">
      <c r="A26" s="3" t="s">
        <v>53</v>
      </c>
      <c r="B26" s="3" t="s">
        <v>12</v>
      </c>
      <c r="C26" s="4">
        <v>26</v>
      </c>
      <c r="D26" s="4">
        <v>10</v>
      </c>
      <c r="E26" s="4">
        <v>6</v>
      </c>
      <c r="F26" s="4">
        <v>10</v>
      </c>
      <c r="G26" s="4">
        <v>31</v>
      </c>
      <c r="H26" s="4">
        <v>35</v>
      </c>
      <c r="I26" s="4">
        <f t="shared" si="0"/>
        <v>-4</v>
      </c>
      <c r="J26" s="5">
        <f t="shared" si="1"/>
        <v>0.46153846153846156</v>
      </c>
      <c r="K26" s="3" t="s">
        <v>54</v>
      </c>
    </row>
    <row r="27" spans="1:11" ht="15" x14ac:dyDescent="0.35">
      <c r="A27" s="6" t="s">
        <v>53</v>
      </c>
      <c r="B27" s="6" t="s">
        <v>18</v>
      </c>
      <c r="C27" s="7">
        <v>12</v>
      </c>
      <c r="D27" s="7">
        <v>4</v>
      </c>
      <c r="E27" s="7">
        <v>2</v>
      </c>
      <c r="F27" s="7">
        <v>6</v>
      </c>
      <c r="G27" s="7">
        <v>13</v>
      </c>
      <c r="H27" s="7">
        <v>19</v>
      </c>
      <c r="I27" s="7">
        <f t="shared" si="0"/>
        <v>-6</v>
      </c>
      <c r="J27" s="8">
        <f t="shared" si="1"/>
        <v>0.3888888888888889</v>
      </c>
      <c r="K27" s="6" t="s">
        <v>55</v>
      </c>
    </row>
    <row r="28" spans="1:11" ht="15" x14ac:dyDescent="0.35">
      <c r="A28" s="3" t="s">
        <v>56</v>
      </c>
      <c r="B28" s="3" t="s">
        <v>18</v>
      </c>
      <c r="C28" s="4">
        <v>22</v>
      </c>
      <c r="D28" s="4">
        <v>9</v>
      </c>
      <c r="E28" s="4">
        <v>3</v>
      </c>
      <c r="F28" s="4">
        <v>10</v>
      </c>
      <c r="G28" s="4">
        <v>27</v>
      </c>
      <c r="H28" s="4">
        <v>28</v>
      </c>
      <c r="I28" s="4">
        <f t="shared" si="0"/>
        <v>-1</v>
      </c>
      <c r="J28" s="5">
        <f t="shared" si="1"/>
        <v>0.45454545454545453</v>
      </c>
      <c r="K28" s="3" t="s">
        <v>57</v>
      </c>
    </row>
    <row r="29" spans="1:11" ht="15" x14ac:dyDescent="0.35">
      <c r="A29" s="6" t="s">
        <v>56</v>
      </c>
      <c r="B29" s="6" t="s">
        <v>38</v>
      </c>
      <c r="C29" s="7">
        <v>12</v>
      </c>
      <c r="D29" s="7">
        <v>4</v>
      </c>
      <c r="E29" s="7">
        <v>2</v>
      </c>
      <c r="F29" s="7">
        <v>6</v>
      </c>
      <c r="G29" s="7">
        <v>14</v>
      </c>
      <c r="H29" s="7">
        <v>18</v>
      </c>
      <c r="I29" s="7">
        <f t="shared" si="0"/>
        <v>-4</v>
      </c>
      <c r="J29" s="8">
        <f t="shared" si="1"/>
        <v>0.3888888888888889</v>
      </c>
      <c r="K29" s="6" t="s">
        <v>58</v>
      </c>
    </row>
    <row r="30" spans="1:11" ht="15" x14ac:dyDescent="0.35">
      <c r="A30" s="3" t="s">
        <v>56</v>
      </c>
      <c r="B30" s="3" t="s">
        <v>12</v>
      </c>
      <c r="C30" s="4">
        <v>4</v>
      </c>
      <c r="D30" s="4">
        <v>1</v>
      </c>
      <c r="E30" s="4">
        <v>0</v>
      </c>
      <c r="F30" s="4">
        <v>3</v>
      </c>
      <c r="G30" s="4">
        <v>4</v>
      </c>
      <c r="H30" s="4">
        <v>6</v>
      </c>
      <c r="I30" s="4">
        <f t="shared" si="0"/>
        <v>-2</v>
      </c>
      <c r="J30" s="5">
        <f t="shared" si="1"/>
        <v>0.25</v>
      </c>
      <c r="K30" s="3" t="s">
        <v>59</v>
      </c>
    </row>
    <row r="31" spans="1:11" ht="15" x14ac:dyDescent="0.35">
      <c r="A31" s="6" t="s">
        <v>60</v>
      </c>
      <c r="B31" s="6" t="s">
        <v>20</v>
      </c>
      <c r="C31" s="7">
        <v>20</v>
      </c>
      <c r="D31" s="7">
        <v>7</v>
      </c>
      <c r="E31" s="7">
        <v>7</v>
      </c>
      <c r="F31" s="7">
        <v>6</v>
      </c>
      <c r="G31" s="7">
        <v>26</v>
      </c>
      <c r="H31" s="7">
        <v>24</v>
      </c>
      <c r="I31" s="7">
        <f t="shared" si="0"/>
        <v>2</v>
      </c>
      <c r="J31" s="8">
        <f t="shared" si="1"/>
        <v>0.46666666666666667</v>
      </c>
      <c r="K31" s="6" t="s">
        <v>61</v>
      </c>
    </row>
    <row r="32" spans="1:11" ht="15" x14ac:dyDescent="0.35">
      <c r="A32" s="3" t="s">
        <v>60</v>
      </c>
      <c r="B32" s="3" t="s">
        <v>62</v>
      </c>
      <c r="C32" s="4">
        <v>14</v>
      </c>
      <c r="D32" s="4">
        <v>3</v>
      </c>
      <c r="E32" s="4">
        <v>6</v>
      </c>
      <c r="F32" s="4">
        <v>5</v>
      </c>
      <c r="G32" s="4">
        <v>15</v>
      </c>
      <c r="H32" s="4">
        <v>20</v>
      </c>
      <c r="I32" s="4">
        <f t="shared" si="0"/>
        <v>-5</v>
      </c>
      <c r="J32" s="5">
        <f t="shared" si="1"/>
        <v>0.35714285714285715</v>
      </c>
      <c r="K32" s="3" t="s">
        <v>63</v>
      </c>
    </row>
    <row r="33" spans="1:11" ht="15" x14ac:dyDescent="0.35">
      <c r="A33" s="6" t="s">
        <v>60</v>
      </c>
      <c r="B33" s="6" t="s">
        <v>34</v>
      </c>
      <c r="C33" s="7">
        <v>4</v>
      </c>
      <c r="D33" s="7">
        <v>1</v>
      </c>
      <c r="E33" s="7">
        <v>1</v>
      </c>
      <c r="F33" s="7">
        <v>2</v>
      </c>
      <c r="G33" s="7">
        <v>4</v>
      </c>
      <c r="H33" s="7">
        <v>7</v>
      </c>
      <c r="I33" s="7">
        <f t="shared" si="0"/>
        <v>-3</v>
      </c>
      <c r="J33" s="8">
        <f t="shared" si="1"/>
        <v>0.33333333333333331</v>
      </c>
      <c r="K33" s="6" t="s">
        <v>64</v>
      </c>
    </row>
    <row r="34" spans="1:11" ht="15" x14ac:dyDescent="0.35">
      <c r="A34" s="3" t="s">
        <v>65</v>
      </c>
      <c r="B34" s="3" t="s">
        <v>12</v>
      </c>
      <c r="C34" s="4">
        <v>26</v>
      </c>
      <c r="D34" s="4">
        <v>9</v>
      </c>
      <c r="E34" s="4">
        <v>7</v>
      </c>
      <c r="F34" s="4">
        <v>10</v>
      </c>
      <c r="G34" s="4">
        <v>23</v>
      </c>
      <c r="H34" s="4">
        <v>25</v>
      </c>
      <c r="I34" s="4">
        <f t="shared" ref="I34:I51" si="2">G34-H34</f>
        <v>-2</v>
      </c>
      <c r="J34" s="5">
        <f t="shared" ref="J34:J51" si="3">(D34*3+E34)/(C34*3)</f>
        <v>0.4358974358974359</v>
      </c>
      <c r="K34" s="3" t="s">
        <v>66</v>
      </c>
    </row>
    <row r="35" spans="1:11" ht="15" x14ac:dyDescent="0.35">
      <c r="A35" s="6" t="s">
        <v>65</v>
      </c>
      <c r="B35" s="6" t="s">
        <v>67</v>
      </c>
      <c r="C35" s="7">
        <v>12</v>
      </c>
      <c r="D35" s="7">
        <v>3</v>
      </c>
      <c r="E35" s="7">
        <v>3</v>
      </c>
      <c r="F35" s="7">
        <v>6</v>
      </c>
      <c r="G35" s="7">
        <v>10</v>
      </c>
      <c r="H35" s="7">
        <v>14</v>
      </c>
      <c r="I35" s="7">
        <f t="shared" si="2"/>
        <v>-4</v>
      </c>
      <c r="J35" s="8">
        <f t="shared" si="3"/>
        <v>0.33333333333333331</v>
      </c>
      <c r="K35" s="6" t="s">
        <v>68</v>
      </c>
    </row>
    <row r="36" spans="1:11" ht="15" x14ac:dyDescent="0.35">
      <c r="A36" s="3" t="s">
        <v>69</v>
      </c>
      <c r="B36" s="3" t="s">
        <v>12</v>
      </c>
      <c r="C36" s="4">
        <v>24</v>
      </c>
      <c r="D36" s="4">
        <v>8</v>
      </c>
      <c r="E36" s="4">
        <v>6</v>
      </c>
      <c r="F36" s="4">
        <v>10</v>
      </c>
      <c r="G36" s="4">
        <v>27</v>
      </c>
      <c r="H36" s="4">
        <v>29</v>
      </c>
      <c r="I36" s="4">
        <f t="shared" si="2"/>
        <v>-2</v>
      </c>
      <c r="J36" s="5">
        <f t="shared" si="3"/>
        <v>0.41666666666666669</v>
      </c>
      <c r="K36" s="3" t="s">
        <v>70</v>
      </c>
    </row>
    <row r="37" spans="1:11" ht="15" x14ac:dyDescent="0.35">
      <c r="A37" s="6" t="s">
        <v>69</v>
      </c>
      <c r="B37" s="6" t="s">
        <v>18</v>
      </c>
      <c r="C37" s="7">
        <v>10</v>
      </c>
      <c r="D37" s="7">
        <v>3</v>
      </c>
      <c r="E37" s="7">
        <v>2</v>
      </c>
      <c r="F37" s="7">
        <v>5</v>
      </c>
      <c r="G37" s="7">
        <v>11</v>
      </c>
      <c r="H37" s="7">
        <v>13</v>
      </c>
      <c r="I37" s="7">
        <f t="shared" si="2"/>
        <v>-2</v>
      </c>
      <c r="J37" s="8">
        <f t="shared" si="3"/>
        <v>0.36666666666666664</v>
      </c>
      <c r="K37" s="6" t="s">
        <v>71</v>
      </c>
    </row>
    <row r="38" spans="1:11" ht="15" x14ac:dyDescent="0.35">
      <c r="A38" s="3" t="s">
        <v>69</v>
      </c>
      <c r="B38" s="3" t="s">
        <v>30</v>
      </c>
      <c r="C38" s="4">
        <v>4</v>
      </c>
      <c r="D38" s="4">
        <v>1</v>
      </c>
      <c r="E38" s="4">
        <v>1</v>
      </c>
      <c r="F38" s="4">
        <v>2</v>
      </c>
      <c r="G38" s="4">
        <v>5</v>
      </c>
      <c r="H38" s="4">
        <v>6</v>
      </c>
      <c r="I38" s="4">
        <f t="shared" si="2"/>
        <v>-1</v>
      </c>
      <c r="J38" s="5">
        <f t="shared" si="3"/>
        <v>0.33333333333333331</v>
      </c>
      <c r="K38" s="3" t="s">
        <v>72</v>
      </c>
    </row>
    <row r="39" spans="1:11" ht="15" x14ac:dyDescent="0.35">
      <c r="A39" s="6" t="s">
        <v>73</v>
      </c>
      <c r="B39" s="6" t="s">
        <v>18</v>
      </c>
      <c r="C39" s="7">
        <v>26</v>
      </c>
      <c r="D39" s="7">
        <v>9</v>
      </c>
      <c r="E39" s="7">
        <v>8</v>
      </c>
      <c r="F39" s="7">
        <v>9</v>
      </c>
      <c r="G39" s="7">
        <v>32</v>
      </c>
      <c r="H39" s="7">
        <v>36</v>
      </c>
      <c r="I39" s="7">
        <f t="shared" si="2"/>
        <v>-4</v>
      </c>
      <c r="J39" s="8">
        <f t="shared" si="3"/>
        <v>0.44871794871794873</v>
      </c>
      <c r="K39" s="6" t="s">
        <v>74</v>
      </c>
    </row>
    <row r="40" spans="1:11" ht="15" x14ac:dyDescent="0.35">
      <c r="A40" s="3" t="s">
        <v>73</v>
      </c>
      <c r="B40" s="3" t="s">
        <v>12</v>
      </c>
      <c r="C40" s="4">
        <v>12</v>
      </c>
      <c r="D40" s="4">
        <v>2</v>
      </c>
      <c r="E40" s="4">
        <v>4</v>
      </c>
      <c r="F40" s="4">
        <v>6</v>
      </c>
      <c r="G40" s="4">
        <v>13</v>
      </c>
      <c r="H40" s="4">
        <v>20</v>
      </c>
      <c r="I40" s="4">
        <f t="shared" si="2"/>
        <v>-7</v>
      </c>
      <c r="J40" s="5">
        <f t="shared" si="3"/>
        <v>0.27777777777777779</v>
      </c>
      <c r="K40" s="3" t="s">
        <v>75</v>
      </c>
    </row>
    <row r="41" spans="1:11" ht="15" x14ac:dyDescent="0.35">
      <c r="A41" s="6" t="s">
        <v>76</v>
      </c>
      <c r="B41" s="6" t="s">
        <v>18</v>
      </c>
      <c r="C41" s="7">
        <v>28</v>
      </c>
      <c r="D41" s="7">
        <v>8</v>
      </c>
      <c r="E41" s="7">
        <v>10</v>
      </c>
      <c r="F41" s="7">
        <v>10</v>
      </c>
      <c r="G41" s="7">
        <v>30</v>
      </c>
      <c r="H41" s="7">
        <v>34</v>
      </c>
      <c r="I41" s="7">
        <f t="shared" si="2"/>
        <v>-4</v>
      </c>
      <c r="J41" s="8">
        <f t="shared" si="3"/>
        <v>0.40476190476190477</v>
      </c>
      <c r="K41" s="6" t="s">
        <v>77</v>
      </c>
    </row>
    <row r="42" spans="1:11" ht="15" x14ac:dyDescent="0.35">
      <c r="A42" s="3" t="s">
        <v>76</v>
      </c>
      <c r="B42" s="3" t="s">
        <v>12</v>
      </c>
      <c r="C42" s="4">
        <v>10</v>
      </c>
      <c r="D42" s="4">
        <v>2</v>
      </c>
      <c r="E42" s="4">
        <v>4</v>
      </c>
      <c r="F42" s="4">
        <v>4</v>
      </c>
      <c r="G42" s="4">
        <v>10</v>
      </c>
      <c r="H42" s="4">
        <v>14</v>
      </c>
      <c r="I42" s="4">
        <f t="shared" si="2"/>
        <v>-4</v>
      </c>
      <c r="J42" s="5">
        <f t="shared" si="3"/>
        <v>0.33333333333333331</v>
      </c>
      <c r="K42" s="3" t="s">
        <v>78</v>
      </c>
    </row>
    <row r="43" spans="1:11" ht="15" x14ac:dyDescent="0.35">
      <c r="A43" s="6" t="s">
        <v>79</v>
      </c>
      <c r="B43" s="6" t="s">
        <v>12</v>
      </c>
      <c r="C43" s="7">
        <v>22</v>
      </c>
      <c r="D43" s="7">
        <v>7</v>
      </c>
      <c r="E43" s="7">
        <v>5</v>
      </c>
      <c r="F43" s="7">
        <v>10</v>
      </c>
      <c r="G43" s="7">
        <v>24</v>
      </c>
      <c r="H43" s="7">
        <v>26</v>
      </c>
      <c r="I43" s="7">
        <f t="shared" si="2"/>
        <v>-2</v>
      </c>
      <c r="J43" s="8">
        <f t="shared" si="3"/>
        <v>0.39393939393939392</v>
      </c>
      <c r="K43" s="6" t="s">
        <v>80</v>
      </c>
    </row>
    <row r="44" spans="1:11" ht="15" x14ac:dyDescent="0.35">
      <c r="A44" s="3" t="s">
        <v>79</v>
      </c>
      <c r="B44" s="3" t="s">
        <v>81</v>
      </c>
      <c r="C44" s="4">
        <v>12</v>
      </c>
      <c r="D44" s="4">
        <v>3</v>
      </c>
      <c r="E44" s="4">
        <v>3</v>
      </c>
      <c r="F44" s="4">
        <v>6</v>
      </c>
      <c r="G44" s="4">
        <v>12</v>
      </c>
      <c r="H44" s="4">
        <v>15</v>
      </c>
      <c r="I44" s="4">
        <f t="shared" si="2"/>
        <v>-3</v>
      </c>
      <c r="J44" s="5">
        <f t="shared" si="3"/>
        <v>0.33333333333333331</v>
      </c>
      <c r="K44" s="3" t="s">
        <v>82</v>
      </c>
    </row>
    <row r="45" spans="1:11" ht="15" x14ac:dyDescent="0.35">
      <c r="A45" s="6" t="s">
        <v>79</v>
      </c>
      <c r="B45" s="6" t="s">
        <v>18</v>
      </c>
      <c r="C45" s="7">
        <v>4</v>
      </c>
      <c r="D45" s="7">
        <v>1</v>
      </c>
      <c r="E45" s="7">
        <v>1</v>
      </c>
      <c r="F45" s="7">
        <v>2</v>
      </c>
      <c r="G45" s="7">
        <v>4</v>
      </c>
      <c r="H45" s="7">
        <v>6</v>
      </c>
      <c r="I45" s="7">
        <f t="shared" si="2"/>
        <v>-2</v>
      </c>
      <c r="J45" s="8">
        <f t="shared" si="3"/>
        <v>0.33333333333333331</v>
      </c>
      <c r="K45" s="6" t="s">
        <v>83</v>
      </c>
    </row>
    <row r="46" spans="1:11" ht="15" x14ac:dyDescent="0.35">
      <c r="A46" s="3" t="s">
        <v>84</v>
      </c>
      <c r="B46" s="3" t="s">
        <v>85</v>
      </c>
      <c r="C46" s="4">
        <v>28</v>
      </c>
      <c r="D46" s="4">
        <v>7</v>
      </c>
      <c r="E46" s="4">
        <v>9</v>
      </c>
      <c r="F46" s="4">
        <v>12</v>
      </c>
      <c r="G46" s="4">
        <v>31</v>
      </c>
      <c r="H46" s="4">
        <v>40</v>
      </c>
      <c r="I46" s="4">
        <f t="shared" si="2"/>
        <v>-9</v>
      </c>
      <c r="J46" s="5">
        <f t="shared" si="3"/>
        <v>0.35714285714285715</v>
      </c>
      <c r="K46" s="3" t="s">
        <v>86</v>
      </c>
    </row>
    <row r="47" spans="1:11" ht="15" x14ac:dyDescent="0.35">
      <c r="A47" s="6" t="s">
        <v>84</v>
      </c>
      <c r="B47" s="6" t="s">
        <v>18</v>
      </c>
      <c r="C47" s="7">
        <v>10</v>
      </c>
      <c r="D47" s="7">
        <v>2</v>
      </c>
      <c r="E47" s="7">
        <v>2</v>
      </c>
      <c r="F47" s="7">
        <v>6</v>
      </c>
      <c r="G47" s="7">
        <v>11</v>
      </c>
      <c r="H47" s="7">
        <v>17</v>
      </c>
      <c r="I47" s="7">
        <f t="shared" si="2"/>
        <v>-6</v>
      </c>
      <c r="J47" s="8">
        <f t="shared" si="3"/>
        <v>0.26666666666666666</v>
      </c>
      <c r="K47" s="6" t="s">
        <v>87</v>
      </c>
    </row>
    <row r="48" spans="1:11" ht="15" x14ac:dyDescent="0.35">
      <c r="A48" s="3" t="s">
        <v>88</v>
      </c>
      <c r="B48" s="3" t="s">
        <v>18</v>
      </c>
      <c r="C48" s="4">
        <v>26</v>
      </c>
      <c r="D48" s="4">
        <v>5</v>
      </c>
      <c r="E48" s="4">
        <v>6</v>
      </c>
      <c r="F48" s="4">
        <v>15</v>
      </c>
      <c r="G48" s="4">
        <v>20</v>
      </c>
      <c r="H48" s="4">
        <v>39</v>
      </c>
      <c r="I48" s="4">
        <f t="shared" si="2"/>
        <v>-19</v>
      </c>
      <c r="J48" s="5">
        <f t="shared" si="3"/>
        <v>0.26923076923076922</v>
      </c>
      <c r="K48" s="3" t="s">
        <v>89</v>
      </c>
    </row>
    <row r="49" spans="1:11" ht="15" x14ac:dyDescent="0.35">
      <c r="A49" s="6" t="s">
        <v>88</v>
      </c>
      <c r="B49" s="6" t="s">
        <v>12</v>
      </c>
      <c r="C49" s="7">
        <v>12</v>
      </c>
      <c r="D49" s="7">
        <v>2</v>
      </c>
      <c r="E49" s="7">
        <v>3</v>
      </c>
      <c r="F49" s="7">
        <v>7</v>
      </c>
      <c r="G49" s="7">
        <v>9</v>
      </c>
      <c r="H49" s="7">
        <v>18</v>
      </c>
      <c r="I49" s="7">
        <f t="shared" si="2"/>
        <v>-9</v>
      </c>
      <c r="J49" s="8">
        <f t="shared" si="3"/>
        <v>0.25</v>
      </c>
      <c r="K49" s="6" t="s">
        <v>90</v>
      </c>
    </row>
    <row r="50" spans="1:11" ht="15" x14ac:dyDescent="0.35">
      <c r="A50" s="3" t="s">
        <v>91</v>
      </c>
      <c r="B50" s="3" t="s">
        <v>18</v>
      </c>
      <c r="C50" s="4">
        <v>20</v>
      </c>
      <c r="D50" s="4">
        <v>3</v>
      </c>
      <c r="E50" s="4">
        <v>7</v>
      </c>
      <c r="F50" s="4">
        <v>10</v>
      </c>
      <c r="G50" s="4">
        <v>16</v>
      </c>
      <c r="H50" s="4">
        <v>30</v>
      </c>
      <c r="I50" s="4">
        <f t="shared" si="2"/>
        <v>-14</v>
      </c>
      <c r="J50" s="5">
        <f t="shared" si="3"/>
        <v>0.26666666666666666</v>
      </c>
      <c r="K50" s="3" t="s">
        <v>92</v>
      </c>
    </row>
    <row r="51" spans="1:11" ht="15" x14ac:dyDescent="0.35">
      <c r="A51" s="6" t="s">
        <v>91</v>
      </c>
      <c r="B51" s="6" t="s">
        <v>93</v>
      </c>
      <c r="C51" s="7">
        <v>18</v>
      </c>
      <c r="D51" s="7">
        <v>3</v>
      </c>
      <c r="E51" s="7">
        <v>5</v>
      </c>
      <c r="F51" s="7">
        <v>10</v>
      </c>
      <c r="G51" s="7">
        <v>13</v>
      </c>
      <c r="H51" s="7">
        <v>29</v>
      </c>
      <c r="I51" s="7">
        <f t="shared" si="2"/>
        <v>-16</v>
      </c>
      <c r="J51" s="8">
        <f t="shared" si="3"/>
        <v>0.25925925925925924</v>
      </c>
      <c r="K51" s="6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A3" sqref="A1:XFD3"/>
    </sheetView>
  </sheetViews>
  <sheetFormatPr defaultRowHeight="14.4" x14ac:dyDescent="0.3"/>
  <cols>
    <col min="1" max="1" width="97" customWidth="1"/>
    <col min="2" max="2" width="22" customWidth="1"/>
    <col min="3" max="3" width="13" customWidth="1"/>
    <col min="4" max="10" width="12" customWidth="1"/>
    <col min="11" max="11" width="19" customWidth="1"/>
    <col min="12" max="12" width="25" customWidth="1"/>
    <col min="13" max="13" width="32" customWidth="1"/>
  </cols>
  <sheetData>
    <row r="1" spans="1:13" ht="16.8" x14ac:dyDescent="0.3">
      <c r="A1" s="2" t="s">
        <v>95</v>
      </c>
      <c r="B1" s="1" t="s">
        <v>0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9</v>
      </c>
      <c r="L1" s="1" t="s">
        <v>104</v>
      </c>
      <c r="M1" s="1" t="s">
        <v>105</v>
      </c>
    </row>
    <row r="2" spans="1:13" ht="15" x14ac:dyDescent="0.35">
      <c r="A2" s="9">
        <v>1</v>
      </c>
      <c r="B2" s="10" t="s">
        <v>11</v>
      </c>
      <c r="C2" s="9">
        <f t="shared" ref="C2:C21" si="0">E2*3+F2</f>
        <v>79</v>
      </c>
      <c r="D2" s="9">
        <v>38</v>
      </c>
      <c r="E2" s="9">
        <v>23</v>
      </c>
      <c r="F2" s="9">
        <v>10</v>
      </c>
      <c r="G2" s="9">
        <v>5</v>
      </c>
      <c r="H2" s="9">
        <v>59</v>
      </c>
      <c r="I2" s="9">
        <v>31</v>
      </c>
      <c r="J2" s="9">
        <f t="shared" ref="J2:J21" si="1">H2-I2</f>
        <v>28</v>
      </c>
      <c r="K2" s="11">
        <f t="shared" ref="K2:K21" si="2">C2/(D2*3)</f>
        <v>0.69298245614035092</v>
      </c>
      <c r="L2" s="10" t="s">
        <v>12</v>
      </c>
      <c r="M2" s="10" t="s">
        <v>106</v>
      </c>
    </row>
    <row r="3" spans="1:13" ht="15" x14ac:dyDescent="0.35">
      <c r="A3" s="9">
        <v>2</v>
      </c>
      <c r="B3" s="10" t="s">
        <v>16</v>
      </c>
      <c r="C3" s="9">
        <f t="shared" si="0"/>
        <v>76</v>
      </c>
      <c r="D3" s="9">
        <v>38</v>
      </c>
      <c r="E3" s="9">
        <v>23</v>
      </c>
      <c r="F3" s="9">
        <v>7</v>
      </c>
      <c r="G3" s="9">
        <v>8</v>
      </c>
      <c r="H3" s="9">
        <v>64</v>
      </c>
      <c r="I3" s="9">
        <v>33</v>
      </c>
      <c r="J3" s="9">
        <f t="shared" si="1"/>
        <v>31</v>
      </c>
      <c r="K3" s="11">
        <f t="shared" si="2"/>
        <v>0.66666666666666663</v>
      </c>
      <c r="L3" s="10" t="s">
        <v>107</v>
      </c>
      <c r="M3" s="10" t="s">
        <v>108</v>
      </c>
    </row>
    <row r="4" spans="1:13" ht="15" x14ac:dyDescent="0.35">
      <c r="A4" s="9">
        <v>3</v>
      </c>
      <c r="B4" s="10" t="s">
        <v>22</v>
      </c>
      <c r="C4" s="9">
        <f t="shared" si="0"/>
        <v>70</v>
      </c>
      <c r="D4" s="9">
        <v>38</v>
      </c>
      <c r="E4" s="9">
        <v>20</v>
      </c>
      <c r="F4" s="9">
        <v>10</v>
      </c>
      <c r="G4" s="9">
        <v>8</v>
      </c>
      <c r="H4" s="9">
        <v>59</v>
      </c>
      <c r="I4" s="9">
        <v>42</v>
      </c>
      <c r="J4" s="9">
        <f t="shared" si="1"/>
        <v>17</v>
      </c>
      <c r="K4" s="11">
        <f t="shared" si="2"/>
        <v>0.61403508771929827</v>
      </c>
      <c r="L4" s="10" t="s">
        <v>107</v>
      </c>
      <c r="M4" s="10" t="s">
        <v>109</v>
      </c>
    </row>
    <row r="5" spans="1:13" ht="15" x14ac:dyDescent="0.35">
      <c r="A5" s="9">
        <v>4</v>
      </c>
      <c r="B5" s="10" t="s">
        <v>27</v>
      </c>
      <c r="C5" s="9">
        <f t="shared" si="0"/>
        <v>68</v>
      </c>
      <c r="D5" s="9">
        <v>38</v>
      </c>
      <c r="E5" s="9">
        <v>19</v>
      </c>
      <c r="F5" s="9">
        <v>11</v>
      </c>
      <c r="G5" s="9">
        <v>8</v>
      </c>
      <c r="H5" s="9">
        <v>56</v>
      </c>
      <c r="I5" s="9">
        <v>39</v>
      </c>
      <c r="J5" s="9">
        <f t="shared" si="1"/>
        <v>17</v>
      </c>
      <c r="K5" s="11">
        <f t="shared" si="2"/>
        <v>0.59649122807017541</v>
      </c>
      <c r="L5" s="10" t="s">
        <v>62</v>
      </c>
      <c r="M5" s="10" t="s">
        <v>110</v>
      </c>
    </row>
    <row r="6" spans="1:13" ht="15" x14ac:dyDescent="0.35">
      <c r="A6" s="4">
        <v>5</v>
      </c>
      <c r="B6" s="3" t="s">
        <v>32</v>
      </c>
      <c r="C6" s="4">
        <f t="shared" si="0"/>
        <v>65</v>
      </c>
      <c r="D6" s="4">
        <v>38</v>
      </c>
      <c r="E6" s="4">
        <v>18</v>
      </c>
      <c r="F6" s="4">
        <v>11</v>
      </c>
      <c r="G6" s="4">
        <v>9</v>
      </c>
      <c r="H6" s="4">
        <v>56</v>
      </c>
      <c r="I6" s="4">
        <v>37</v>
      </c>
      <c r="J6" s="4">
        <f t="shared" si="1"/>
        <v>19</v>
      </c>
      <c r="K6" s="5">
        <f t="shared" si="2"/>
        <v>0.57017543859649122</v>
      </c>
      <c r="L6" s="3" t="s">
        <v>12</v>
      </c>
      <c r="M6" s="3" t="s">
        <v>111</v>
      </c>
    </row>
    <row r="7" spans="1:13" ht="15" x14ac:dyDescent="0.35">
      <c r="A7" s="7">
        <v>6</v>
      </c>
      <c r="B7" s="6" t="s">
        <v>36</v>
      </c>
      <c r="C7" s="7">
        <f t="shared" si="0"/>
        <v>59</v>
      </c>
      <c r="D7" s="7">
        <v>38</v>
      </c>
      <c r="E7" s="7">
        <v>17</v>
      </c>
      <c r="F7" s="7">
        <v>8</v>
      </c>
      <c r="G7" s="7">
        <v>13</v>
      </c>
      <c r="H7" s="7">
        <v>53</v>
      </c>
      <c r="I7" s="7">
        <v>43</v>
      </c>
      <c r="J7" s="7">
        <f t="shared" si="1"/>
        <v>10</v>
      </c>
      <c r="K7" s="8">
        <f t="shared" si="2"/>
        <v>0.51754385964912286</v>
      </c>
      <c r="L7" s="6" t="s">
        <v>112</v>
      </c>
      <c r="M7" s="6" t="s">
        <v>113</v>
      </c>
    </row>
    <row r="8" spans="1:13" ht="15" x14ac:dyDescent="0.35">
      <c r="A8" s="4">
        <v>7</v>
      </c>
      <c r="B8" s="3" t="s">
        <v>41</v>
      </c>
      <c r="C8" s="4">
        <f t="shared" si="0"/>
        <v>56</v>
      </c>
      <c r="D8" s="4">
        <v>38</v>
      </c>
      <c r="E8" s="4">
        <v>15</v>
      </c>
      <c r="F8" s="4">
        <v>11</v>
      </c>
      <c r="G8" s="4">
        <v>12</v>
      </c>
      <c r="H8" s="4">
        <v>53</v>
      </c>
      <c r="I8" s="4">
        <v>47</v>
      </c>
      <c r="J8" s="4">
        <f t="shared" si="1"/>
        <v>6</v>
      </c>
      <c r="K8" s="5">
        <f t="shared" si="2"/>
        <v>0.49122807017543857</v>
      </c>
      <c r="L8" s="3" t="s">
        <v>114</v>
      </c>
      <c r="M8" s="3" t="s">
        <v>115</v>
      </c>
    </row>
    <row r="9" spans="1:13" ht="15" x14ac:dyDescent="0.35">
      <c r="A9" s="7">
        <v>8</v>
      </c>
      <c r="B9" s="6" t="s">
        <v>46</v>
      </c>
      <c r="C9" s="7">
        <f t="shared" si="0"/>
        <v>53</v>
      </c>
      <c r="D9" s="7">
        <v>38</v>
      </c>
      <c r="E9" s="7">
        <v>15</v>
      </c>
      <c r="F9" s="7">
        <v>8</v>
      </c>
      <c r="G9" s="7">
        <v>15</v>
      </c>
      <c r="H9" s="7">
        <v>49</v>
      </c>
      <c r="I9" s="7">
        <v>46</v>
      </c>
      <c r="J9" s="7">
        <f t="shared" si="1"/>
        <v>3</v>
      </c>
      <c r="K9" s="8">
        <f t="shared" si="2"/>
        <v>0.46491228070175439</v>
      </c>
      <c r="L9" s="6" t="s">
        <v>116</v>
      </c>
      <c r="M9" s="6" t="s">
        <v>117</v>
      </c>
    </row>
    <row r="10" spans="1:13" ht="15" x14ac:dyDescent="0.35">
      <c r="A10" s="4">
        <v>9</v>
      </c>
      <c r="B10" s="3" t="s">
        <v>49</v>
      </c>
      <c r="C10" s="4">
        <f t="shared" si="0"/>
        <v>52</v>
      </c>
      <c r="D10" s="4">
        <v>38</v>
      </c>
      <c r="E10" s="4">
        <v>14</v>
      </c>
      <c r="F10" s="4">
        <v>10</v>
      </c>
      <c r="G10" s="4">
        <v>14</v>
      </c>
      <c r="H10" s="4">
        <v>43</v>
      </c>
      <c r="I10" s="4">
        <v>41</v>
      </c>
      <c r="J10" s="4">
        <f t="shared" si="1"/>
        <v>2</v>
      </c>
      <c r="K10" s="5">
        <f t="shared" si="2"/>
        <v>0.45614035087719296</v>
      </c>
      <c r="L10" s="3" t="s">
        <v>12</v>
      </c>
      <c r="M10" s="3" t="s">
        <v>118</v>
      </c>
    </row>
    <row r="11" spans="1:13" ht="15" x14ac:dyDescent="0.35">
      <c r="A11" s="7">
        <v>10</v>
      </c>
      <c r="B11" s="6" t="s">
        <v>53</v>
      </c>
      <c r="C11" s="7">
        <f t="shared" si="0"/>
        <v>50</v>
      </c>
      <c r="D11" s="7">
        <v>38</v>
      </c>
      <c r="E11" s="7">
        <v>14</v>
      </c>
      <c r="F11" s="7">
        <v>8</v>
      </c>
      <c r="G11" s="7">
        <v>16</v>
      </c>
      <c r="H11" s="7">
        <v>44</v>
      </c>
      <c r="I11" s="7">
        <v>54</v>
      </c>
      <c r="J11" s="7">
        <f t="shared" si="1"/>
        <v>-10</v>
      </c>
      <c r="K11" s="8">
        <f t="shared" si="2"/>
        <v>0.43859649122807015</v>
      </c>
      <c r="L11" s="6" t="s">
        <v>12</v>
      </c>
      <c r="M11" s="6" t="s">
        <v>119</v>
      </c>
    </row>
    <row r="12" spans="1:13" ht="15" x14ac:dyDescent="0.35">
      <c r="A12" s="4">
        <v>11</v>
      </c>
      <c r="B12" s="3" t="s">
        <v>56</v>
      </c>
      <c r="C12" s="4">
        <f t="shared" si="0"/>
        <v>47</v>
      </c>
      <c r="D12" s="4">
        <v>38</v>
      </c>
      <c r="E12" s="4">
        <v>14</v>
      </c>
      <c r="F12" s="4">
        <v>5</v>
      </c>
      <c r="G12" s="4">
        <v>19</v>
      </c>
      <c r="H12" s="4">
        <v>45</v>
      </c>
      <c r="I12" s="4">
        <v>52</v>
      </c>
      <c r="J12" s="4">
        <f t="shared" si="1"/>
        <v>-7</v>
      </c>
      <c r="K12" s="5">
        <f t="shared" si="2"/>
        <v>0.41228070175438597</v>
      </c>
      <c r="L12" s="3" t="s">
        <v>120</v>
      </c>
      <c r="M12" s="3" t="s">
        <v>121</v>
      </c>
    </row>
    <row r="13" spans="1:13" ht="15" x14ac:dyDescent="0.35">
      <c r="A13" s="7">
        <v>12</v>
      </c>
      <c r="B13" s="6" t="s">
        <v>60</v>
      </c>
      <c r="C13" s="7">
        <f t="shared" si="0"/>
        <v>47</v>
      </c>
      <c r="D13" s="7">
        <v>38</v>
      </c>
      <c r="E13" s="7">
        <v>11</v>
      </c>
      <c r="F13" s="7">
        <v>14</v>
      </c>
      <c r="G13" s="7">
        <v>13</v>
      </c>
      <c r="H13" s="7">
        <v>45</v>
      </c>
      <c r="I13" s="7">
        <v>51</v>
      </c>
      <c r="J13" s="7">
        <f t="shared" si="1"/>
        <v>-6</v>
      </c>
      <c r="K13" s="8">
        <f t="shared" si="2"/>
        <v>0.41228070175438597</v>
      </c>
      <c r="L13" s="6" t="s">
        <v>122</v>
      </c>
      <c r="M13" s="6" t="s">
        <v>123</v>
      </c>
    </row>
    <row r="14" spans="1:13" ht="15" x14ac:dyDescent="0.35">
      <c r="A14" s="4">
        <v>13</v>
      </c>
      <c r="B14" s="3" t="s">
        <v>65</v>
      </c>
      <c r="C14" s="4">
        <f t="shared" si="0"/>
        <v>46</v>
      </c>
      <c r="D14" s="4">
        <v>38</v>
      </c>
      <c r="E14" s="4">
        <v>12</v>
      </c>
      <c r="F14" s="4">
        <v>10</v>
      </c>
      <c r="G14" s="4">
        <v>16</v>
      </c>
      <c r="H14" s="4">
        <v>33</v>
      </c>
      <c r="I14" s="4">
        <v>39</v>
      </c>
      <c r="J14" s="4">
        <f t="shared" si="1"/>
        <v>-6</v>
      </c>
      <c r="K14" s="5">
        <f t="shared" si="2"/>
        <v>0.40350877192982454</v>
      </c>
      <c r="L14" s="3" t="s">
        <v>12</v>
      </c>
      <c r="M14" s="3" t="s">
        <v>124</v>
      </c>
    </row>
    <row r="15" spans="1:13" ht="15" x14ac:dyDescent="0.35">
      <c r="A15" s="7">
        <v>14</v>
      </c>
      <c r="B15" s="6" t="s">
        <v>69</v>
      </c>
      <c r="C15" s="7">
        <f t="shared" si="0"/>
        <v>45</v>
      </c>
      <c r="D15" s="7">
        <v>38</v>
      </c>
      <c r="E15" s="7">
        <v>12</v>
      </c>
      <c r="F15" s="7">
        <v>9</v>
      </c>
      <c r="G15" s="7">
        <v>17</v>
      </c>
      <c r="H15" s="7">
        <v>43</v>
      </c>
      <c r="I15" s="7">
        <v>48</v>
      </c>
      <c r="J15" s="7">
        <f t="shared" si="1"/>
        <v>-5</v>
      </c>
      <c r="K15" s="8">
        <f t="shared" si="2"/>
        <v>0.39473684210526316</v>
      </c>
      <c r="L15" s="6" t="s">
        <v>107</v>
      </c>
      <c r="M15" s="6" t="s">
        <v>125</v>
      </c>
    </row>
    <row r="16" spans="1:13" ht="15" x14ac:dyDescent="0.35">
      <c r="A16" s="4">
        <v>15</v>
      </c>
      <c r="B16" s="3" t="s">
        <v>73</v>
      </c>
      <c r="C16" s="4">
        <f t="shared" si="0"/>
        <v>45</v>
      </c>
      <c r="D16" s="4">
        <v>38</v>
      </c>
      <c r="E16" s="4">
        <v>11</v>
      </c>
      <c r="F16" s="4">
        <v>12</v>
      </c>
      <c r="G16" s="4">
        <v>15</v>
      </c>
      <c r="H16" s="4">
        <v>45</v>
      </c>
      <c r="I16" s="4">
        <v>56</v>
      </c>
      <c r="J16" s="4">
        <f t="shared" si="1"/>
        <v>-11</v>
      </c>
      <c r="K16" s="5">
        <f t="shared" si="2"/>
        <v>0.39473684210526316</v>
      </c>
      <c r="L16" s="3" t="s">
        <v>18</v>
      </c>
      <c r="M16" s="3" t="s">
        <v>126</v>
      </c>
    </row>
    <row r="17" spans="1:13" ht="15" x14ac:dyDescent="0.35">
      <c r="A17" s="7">
        <v>16</v>
      </c>
      <c r="B17" s="6" t="s">
        <v>76</v>
      </c>
      <c r="C17" s="7">
        <f t="shared" si="0"/>
        <v>44</v>
      </c>
      <c r="D17" s="7">
        <v>38</v>
      </c>
      <c r="E17" s="7">
        <v>10</v>
      </c>
      <c r="F17" s="7">
        <v>14</v>
      </c>
      <c r="G17" s="7">
        <v>14</v>
      </c>
      <c r="H17" s="7">
        <v>40</v>
      </c>
      <c r="I17" s="7">
        <v>48</v>
      </c>
      <c r="J17" s="7">
        <f t="shared" si="1"/>
        <v>-8</v>
      </c>
      <c r="K17" s="8">
        <f t="shared" si="2"/>
        <v>0.38596491228070173</v>
      </c>
      <c r="L17" s="6" t="s">
        <v>18</v>
      </c>
      <c r="M17" s="6" t="s">
        <v>127</v>
      </c>
    </row>
    <row r="18" spans="1:13" ht="15" x14ac:dyDescent="0.35">
      <c r="A18" s="12">
        <v>17</v>
      </c>
      <c r="B18" s="13" t="s">
        <v>79</v>
      </c>
      <c r="C18" s="12">
        <f t="shared" si="0"/>
        <v>42</v>
      </c>
      <c r="D18" s="12">
        <v>38</v>
      </c>
      <c r="E18" s="12">
        <v>11</v>
      </c>
      <c r="F18" s="12">
        <v>9</v>
      </c>
      <c r="G18" s="12">
        <v>18</v>
      </c>
      <c r="H18" s="12">
        <v>40</v>
      </c>
      <c r="I18" s="12">
        <v>47</v>
      </c>
      <c r="J18" s="12">
        <f t="shared" si="1"/>
        <v>-7</v>
      </c>
      <c r="K18" s="14">
        <f t="shared" si="2"/>
        <v>0.36842105263157893</v>
      </c>
      <c r="L18" s="13" t="s">
        <v>128</v>
      </c>
      <c r="M18" s="13" t="s">
        <v>129</v>
      </c>
    </row>
    <row r="19" spans="1:13" ht="15" x14ac:dyDescent="0.35">
      <c r="A19" s="12">
        <v>18</v>
      </c>
      <c r="B19" s="13" t="s">
        <v>84</v>
      </c>
      <c r="C19" s="12">
        <f t="shared" si="0"/>
        <v>38</v>
      </c>
      <c r="D19" s="12">
        <v>38</v>
      </c>
      <c r="E19" s="12">
        <v>9</v>
      </c>
      <c r="F19" s="12">
        <v>11</v>
      </c>
      <c r="G19" s="12">
        <v>18</v>
      </c>
      <c r="H19" s="12">
        <v>42</v>
      </c>
      <c r="I19" s="12">
        <v>57</v>
      </c>
      <c r="J19" s="12">
        <f t="shared" si="1"/>
        <v>-15</v>
      </c>
      <c r="K19" s="14">
        <f t="shared" si="2"/>
        <v>0.33333333333333331</v>
      </c>
      <c r="L19" s="13" t="s">
        <v>34</v>
      </c>
      <c r="M19" s="13" t="s">
        <v>130</v>
      </c>
    </row>
    <row r="20" spans="1:13" ht="15" x14ac:dyDescent="0.35">
      <c r="A20" s="12">
        <v>19</v>
      </c>
      <c r="B20" s="13" t="s">
        <v>88</v>
      </c>
      <c r="C20" s="12">
        <f t="shared" si="0"/>
        <v>30</v>
      </c>
      <c r="D20" s="12">
        <v>38</v>
      </c>
      <c r="E20" s="12">
        <v>7</v>
      </c>
      <c r="F20" s="12">
        <v>9</v>
      </c>
      <c r="G20" s="12">
        <v>22</v>
      </c>
      <c r="H20" s="12">
        <v>29</v>
      </c>
      <c r="I20" s="12">
        <v>57</v>
      </c>
      <c r="J20" s="12">
        <f t="shared" si="1"/>
        <v>-28</v>
      </c>
      <c r="K20" s="14">
        <f t="shared" si="2"/>
        <v>0.26315789473684209</v>
      </c>
      <c r="L20" s="13" t="s">
        <v>18</v>
      </c>
      <c r="M20" s="13" t="s">
        <v>131</v>
      </c>
    </row>
    <row r="21" spans="1:13" ht="15" x14ac:dyDescent="0.35">
      <c r="A21" s="12">
        <v>20</v>
      </c>
      <c r="B21" s="13" t="s">
        <v>91</v>
      </c>
      <c r="C21" s="12">
        <f t="shared" si="0"/>
        <v>30</v>
      </c>
      <c r="D21" s="12">
        <v>38</v>
      </c>
      <c r="E21" s="12">
        <v>6</v>
      </c>
      <c r="F21" s="12">
        <v>12</v>
      </c>
      <c r="G21" s="12">
        <v>20</v>
      </c>
      <c r="H21" s="12">
        <v>29</v>
      </c>
      <c r="I21" s="12">
        <v>59</v>
      </c>
      <c r="J21" s="12">
        <f t="shared" si="1"/>
        <v>-30</v>
      </c>
      <c r="K21" s="14">
        <f t="shared" si="2"/>
        <v>0.26315789473684209</v>
      </c>
      <c r="L21" s="13" t="s">
        <v>132</v>
      </c>
      <c r="M21" s="13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workbookViewId="0">
      <selection activeCell="A3" sqref="A1:XFD3"/>
    </sheetView>
  </sheetViews>
  <sheetFormatPr defaultRowHeight="14.4" x14ac:dyDescent="0.3"/>
  <cols>
    <col min="1" max="1" width="22" customWidth="1"/>
    <col min="2" max="2" width="15" customWidth="1"/>
    <col min="3" max="7" width="12" customWidth="1"/>
    <col min="8" max="8" width="13" customWidth="1"/>
    <col min="9" max="9" width="18" customWidth="1"/>
    <col min="10" max="10" width="15" customWidth="1"/>
    <col min="11" max="15" width="12" customWidth="1"/>
    <col min="16" max="16" width="13" customWidth="1"/>
    <col min="17" max="17" width="18" customWidth="1"/>
  </cols>
  <sheetData>
    <row r="1" spans="1:17" ht="16.8" x14ac:dyDescent="0.3">
      <c r="A1" s="1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  <c r="O1" s="2" t="s">
        <v>147</v>
      </c>
      <c r="P1" s="2" t="s">
        <v>148</v>
      </c>
      <c r="Q1" s="2" t="s">
        <v>149</v>
      </c>
    </row>
    <row r="2" spans="1:17" ht="15" x14ac:dyDescent="0.35">
      <c r="A2" s="3" t="s">
        <v>11</v>
      </c>
      <c r="B2" s="4">
        <f t="shared" ref="B2:B21" si="0">C2+D2+E2</f>
        <v>19</v>
      </c>
      <c r="C2" s="4">
        <v>12</v>
      </c>
      <c r="D2" s="4">
        <v>5</v>
      </c>
      <c r="E2" s="4">
        <v>2</v>
      </c>
      <c r="F2" s="4">
        <v>35</v>
      </c>
      <c r="G2" s="4">
        <v>15</v>
      </c>
      <c r="H2" s="4">
        <f t="shared" ref="H2:H21" si="1">C2*3+D2</f>
        <v>41</v>
      </c>
      <c r="I2" s="5">
        <f t="shared" ref="I2:I21" si="2">H2/(B2*3)</f>
        <v>0.7192982456140351</v>
      </c>
      <c r="J2" s="4">
        <f t="shared" ref="J2:J21" si="3">K2+L2+M2</f>
        <v>19</v>
      </c>
      <c r="K2" s="4">
        <v>11</v>
      </c>
      <c r="L2" s="4">
        <v>5</v>
      </c>
      <c r="M2" s="4">
        <v>3</v>
      </c>
      <c r="N2" s="4">
        <v>24</v>
      </c>
      <c r="O2" s="4">
        <v>16</v>
      </c>
      <c r="P2" s="4">
        <f t="shared" ref="P2:P21" si="4">K2*3+L2</f>
        <v>38</v>
      </c>
      <c r="Q2" s="5">
        <f t="shared" ref="Q2:Q21" si="5">P2/(J2*3)</f>
        <v>0.66666666666666663</v>
      </c>
    </row>
    <row r="3" spans="1:17" ht="15" x14ac:dyDescent="0.35">
      <c r="A3" s="6" t="s">
        <v>16</v>
      </c>
      <c r="B3" s="7">
        <f t="shared" si="0"/>
        <v>19</v>
      </c>
      <c r="C3" s="7">
        <v>14</v>
      </c>
      <c r="D3" s="7">
        <v>3</v>
      </c>
      <c r="E3" s="7">
        <v>2</v>
      </c>
      <c r="F3" s="7">
        <v>40</v>
      </c>
      <c r="G3" s="7">
        <v>15</v>
      </c>
      <c r="H3" s="7">
        <f t="shared" si="1"/>
        <v>45</v>
      </c>
      <c r="I3" s="8">
        <f t="shared" si="2"/>
        <v>0.78947368421052633</v>
      </c>
      <c r="J3" s="7">
        <f t="shared" si="3"/>
        <v>19</v>
      </c>
      <c r="K3" s="7">
        <v>9</v>
      </c>
      <c r="L3" s="7">
        <v>4</v>
      </c>
      <c r="M3" s="7">
        <v>6</v>
      </c>
      <c r="N3" s="7">
        <v>24</v>
      </c>
      <c r="O3" s="7">
        <v>18</v>
      </c>
      <c r="P3" s="7">
        <f t="shared" si="4"/>
        <v>31</v>
      </c>
      <c r="Q3" s="8">
        <f t="shared" si="5"/>
        <v>0.54385964912280704</v>
      </c>
    </row>
    <row r="4" spans="1:17" ht="15" x14ac:dyDescent="0.35">
      <c r="A4" s="3" t="s">
        <v>22</v>
      </c>
      <c r="B4" s="4">
        <f t="shared" si="0"/>
        <v>19</v>
      </c>
      <c r="C4" s="4">
        <v>11</v>
      </c>
      <c r="D4" s="4">
        <v>5</v>
      </c>
      <c r="E4" s="4">
        <v>3</v>
      </c>
      <c r="F4" s="4">
        <v>31</v>
      </c>
      <c r="G4" s="4">
        <v>18</v>
      </c>
      <c r="H4" s="4">
        <f t="shared" si="1"/>
        <v>38</v>
      </c>
      <c r="I4" s="5">
        <f t="shared" si="2"/>
        <v>0.66666666666666663</v>
      </c>
      <c r="J4" s="4">
        <f t="shared" si="3"/>
        <v>19</v>
      </c>
      <c r="K4" s="4">
        <v>9</v>
      </c>
      <c r="L4" s="4">
        <v>5</v>
      </c>
      <c r="M4" s="4">
        <v>5</v>
      </c>
      <c r="N4" s="4">
        <v>28</v>
      </c>
      <c r="O4" s="4">
        <v>24</v>
      </c>
      <c r="P4" s="4">
        <f t="shared" si="4"/>
        <v>32</v>
      </c>
      <c r="Q4" s="5">
        <f t="shared" si="5"/>
        <v>0.56140350877192979</v>
      </c>
    </row>
    <row r="5" spans="1:17" ht="15" x14ac:dyDescent="0.35">
      <c r="A5" s="6" t="s">
        <v>27</v>
      </c>
      <c r="B5" s="7">
        <f t="shared" si="0"/>
        <v>19</v>
      </c>
      <c r="C5" s="7">
        <v>14</v>
      </c>
      <c r="D5" s="7">
        <v>5</v>
      </c>
      <c r="E5" s="7">
        <v>0</v>
      </c>
      <c r="F5" s="7">
        <v>34</v>
      </c>
      <c r="G5" s="7">
        <v>12</v>
      </c>
      <c r="H5" s="7">
        <f t="shared" si="1"/>
        <v>47</v>
      </c>
      <c r="I5" s="8">
        <f t="shared" si="2"/>
        <v>0.82456140350877194</v>
      </c>
      <c r="J5" s="7">
        <f t="shared" si="3"/>
        <v>19</v>
      </c>
      <c r="K5" s="7">
        <v>5</v>
      </c>
      <c r="L5" s="7">
        <v>6</v>
      </c>
      <c r="M5" s="7">
        <v>8</v>
      </c>
      <c r="N5" s="7">
        <v>22</v>
      </c>
      <c r="O5" s="7">
        <v>27</v>
      </c>
      <c r="P5" s="7">
        <f t="shared" si="4"/>
        <v>21</v>
      </c>
      <c r="Q5" s="8">
        <f t="shared" si="5"/>
        <v>0.36842105263157893</v>
      </c>
    </row>
    <row r="6" spans="1:17" ht="15" x14ac:dyDescent="0.35">
      <c r="A6" s="3" t="s">
        <v>32</v>
      </c>
      <c r="B6" s="4">
        <f t="shared" si="0"/>
        <v>19</v>
      </c>
      <c r="C6" s="4">
        <v>11</v>
      </c>
      <c r="D6" s="4">
        <v>6</v>
      </c>
      <c r="E6" s="4">
        <v>2</v>
      </c>
      <c r="F6" s="4">
        <v>33</v>
      </c>
      <c r="G6" s="4">
        <v>16</v>
      </c>
      <c r="H6" s="4">
        <f t="shared" si="1"/>
        <v>39</v>
      </c>
      <c r="I6" s="5">
        <f t="shared" si="2"/>
        <v>0.68421052631578949</v>
      </c>
      <c r="J6" s="4">
        <f t="shared" si="3"/>
        <v>19</v>
      </c>
      <c r="K6" s="4">
        <v>7</v>
      </c>
      <c r="L6" s="4">
        <v>5</v>
      </c>
      <c r="M6" s="4">
        <v>7</v>
      </c>
      <c r="N6" s="4">
        <v>23</v>
      </c>
      <c r="O6" s="4">
        <v>21</v>
      </c>
      <c r="P6" s="4">
        <f t="shared" si="4"/>
        <v>26</v>
      </c>
      <c r="Q6" s="5">
        <f t="shared" si="5"/>
        <v>0.45614035087719296</v>
      </c>
    </row>
    <row r="7" spans="1:17" ht="15" x14ac:dyDescent="0.35">
      <c r="A7" s="6" t="s">
        <v>36</v>
      </c>
      <c r="B7" s="7">
        <f t="shared" si="0"/>
        <v>19</v>
      </c>
      <c r="C7" s="7">
        <v>12</v>
      </c>
      <c r="D7" s="7">
        <v>3</v>
      </c>
      <c r="E7" s="7">
        <v>4</v>
      </c>
      <c r="F7" s="7">
        <v>30</v>
      </c>
      <c r="G7" s="7">
        <v>16</v>
      </c>
      <c r="H7" s="7">
        <f t="shared" si="1"/>
        <v>39</v>
      </c>
      <c r="I7" s="8">
        <f t="shared" si="2"/>
        <v>0.68421052631578949</v>
      </c>
      <c r="J7" s="7">
        <f t="shared" si="3"/>
        <v>19</v>
      </c>
      <c r="K7" s="7">
        <v>5</v>
      </c>
      <c r="L7" s="7">
        <v>5</v>
      </c>
      <c r="M7" s="7">
        <v>9</v>
      </c>
      <c r="N7" s="7">
        <v>23</v>
      </c>
      <c r="O7" s="7">
        <v>27</v>
      </c>
      <c r="P7" s="7">
        <f t="shared" si="4"/>
        <v>20</v>
      </c>
      <c r="Q7" s="8">
        <f t="shared" si="5"/>
        <v>0.35087719298245612</v>
      </c>
    </row>
    <row r="8" spans="1:17" ht="15" x14ac:dyDescent="0.35">
      <c r="A8" s="3" t="s">
        <v>41</v>
      </c>
      <c r="B8" s="4">
        <f t="shared" si="0"/>
        <v>19</v>
      </c>
      <c r="C8" s="4">
        <v>10</v>
      </c>
      <c r="D8" s="4">
        <v>8</v>
      </c>
      <c r="E8" s="4">
        <v>1</v>
      </c>
      <c r="F8" s="4">
        <v>33</v>
      </c>
      <c r="G8" s="4">
        <v>16</v>
      </c>
      <c r="H8" s="4">
        <f t="shared" si="1"/>
        <v>38</v>
      </c>
      <c r="I8" s="5">
        <f t="shared" si="2"/>
        <v>0.66666666666666663</v>
      </c>
      <c r="J8" s="4">
        <f t="shared" si="3"/>
        <v>19</v>
      </c>
      <c r="K8" s="4">
        <v>5</v>
      </c>
      <c r="L8" s="4">
        <v>3</v>
      </c>
      <c r="M8" s="4">
        <v>11</v>
      </c>
      <c r="N8" s="4">
        <v>20</v>
      </c>
      <c r="O8" s="4">
        <v>31</v>
      </c>
      <c r="P8" s="4">
        <f t="shared" si="4"/>
        <v>18</v>
      </c>
      <c r="Q8" s="5">
        <f t="shared" si="5"/>
        <v>0.31578947368421051</v>
      </c>
    </row>
    <row r="9" spans="1:17" ht="15" x14ac:dyDescent="0.35">
      <c r="A9" s="6" t="s">
        <v>46</v>
      </c>
      <c r="B9" s="7">
        <f t="shared" si="0"/>
        <v>19</v>
      </c>
      <c r="C9" s="7">
        <v>11</v>
      </c>
      <c r="D9" s="7">
        <v>3</v>
      </c>
      <c r="E9" s="7">
        <v>5</v>
      </c>
      <c r="F9" s="7">
        <v>28</v>
      </c>
      <c r="G9" s="7">
        <v>18</v>
      </c>
      <c r="H9" s="7">
        <f t="shared" si="1"/>
        <v>36</v>
      </c>
      <c r="I9" s="8">
        <f t="shared" si="2"/>
        <v>0.63157894736842102</v>
      </c>
      <c r="J9" s="7">
        <f t="shared" si="3"/>
        <v>19</v>
      </c>
      <c r="K9" s="7">
        <v>4</v>
      </c>
      <c r="L9" s="7">
        <v>5</v>
      </c>
      <c r="M9" s="7">
        <v>10</v>
      </c>
      <c r="N9" s="7">
        <v>21</v>
      </c>
      <c r="O9" s="7">
        <v>28</v>
      </c>
      <c r="P9" s="7">
        <f t="shared" si="4"/>
        <v>17</v>
      </c>
      <c r="Q9" s="8">
        <f t="shared" si="5"/>
        <v>0.2982456140350877</v>
      </c>
    </row>
    <row r="10" spans="1:17" ht="15" x14ac:dyDescent="0.35">
      <c r="A10" s="3" t="s">
        <v>49</v>
      </c>
      <c r="B10" s="4">
        <f t="shared" si="0"/>
        <v>19</v>
      </c>
      <c r="C10" s="4">
        <v>10</v>
      </c>
      <c r="D10" s="4">
        <v>6</v>
      </c>
      <c r="E10" s="4">
        <v>3</v>
      </c>
      <c r="F10" s="4">
        <v>28</v>
      </c>
      <c r="G10" s="4">
        <v>14</v>
      </c>
      <c r="H10" s="4">
        <f t="shared" si="1"/>
        <v>36</v>
      </c>
      <c r="I10" s="5">
        <f t="shared" si="2"/>
        <v>0.63157894736842102</v>
      </c>
      <c r="J10" s="4">
        <f t="shared" si="3"/>
        <v>19</v>
      </c>
      <c r="K10" s="4">
        <v>4</v>
      </c>
      <c r="L10" s="4">
        <v>4</v>
      </c>
      <c r="M10" s="4">
        <v>11</v>
      </c>
      <c r="N10" s="4">
        <v>15</v>
      </c>
      <c r="O10" s="4">
        <v>27</v>
      </c>
      <c r="P10" s="4">
        <f t="shared" si="4"/>
        <v>16</v>
      </c>
      <c r="Q10" s="5">
        <f t="shared" si="5"/>
        <v>0.2807017543859649</v>
      </c>
    </row>
    <row r="11" spans="1:17" ht="15" x14ac:dyDescent="0.35">
      <c r="A11" s="6" t="s">
        <v>53</v>
      </c>
      <c r="B11" s="7">
        <f t="shared" si="0"/>
        <v>19</v>
      </c>
      <c r="C11" s="7">
        <v>9</v>
      </c>
      <c r="D11" s="7">
        <v>6</v>
      </c>
      <c r="E11" s="7">
        <v>4</v>
      </c>
      <c r="F11" s="7">
        <v>27</v>
      </c>
      <c r="G11" s="7">
        <v>21</v>
      </c>
      <c r="H11" s="7">
        <f t="shared" si="1"/>
        <v>33</v>
      </c>
      <c r="I11" s="8">
        <f t="shared" si="2"/>
        <v>0.57894736842105265</v>
      </c>
      <c r="J11" s="7">
        <f t="shared" si="3"/>
        <v>19</v>
      </c>
      <c r="K11" s="7">
        <v>5</v>
      </c>
      <c r="L11" s="7">
        <v>2</v>
      </c>
      <c r="M11" s="7">
        <v>12</v>
      </c>
      <c r="N11" s="7">
        <v>17</v>
      </c>
      <c r="O11" s="7">
        <v>33</v>
      </c>
      <c r="P11" s="7">
        <f t="shared" si="4"/>
        <v>17</v>
      </c>
      <c r="Q11" s="8">
        <f t="shared" si="5"/>
        <v>0.2982456140350877</v>
      </c>
    </row>
    <row r="12" spans="1:17" ht="15" x14ac:dyDescent="0.35">
      <c r="A12" s="3" t="s">
        <v>56</v>
      </c>
      <c r="B12" s="4">
        <f t="shared" si="0"/>
        <v>19</v>
      </c>
      <c r="C12" s="4">
        <v>9</v>
      </c>
      <c r="D12" s="4">
        <v>3</v>
      </c>
      <c r="E12" s="4">
        <v>7</v>
      </c>
      <c r="F12" s="4">
        <v>25</v>
      </c>
      <c r="G12" s="4">
        <v>22</v>
      </c>
      <c r="H12" s="4">
        <f t="shared" si="1"/>
        <v>30</v>
      </c>
      <c r="I12" s="5">
        <f t="shared" si="2"/>
        <v>0.52631578947368418</v>
      </c>
      <c r="J12" s="4">
        <f t="shared" si="3"/>
        <v>19</v>
      </c>
      <c r="K12" s="4">
        <v>5</v>
      </c>
      <c r="L12" s="4">
        <v>2</v>
      </c>
      <c r="M12" s="4">
        <v>12</v>
      </c>
      <c r="N12" s="4">
        <v>20</v>
      </c>
      <c r="O12" s="4">
        <v>30</v>
      </c>
      <c r="P12" s="4">
        <f t="shared" si="4"/>
        <v>17</v>
      </c>
      <c r="Q12" s="5">
        <f t="shared" si="5"/>
        <v>0.2982456140350877</v>
      </c>
    </row>
    <row r="13" spans="1:17" ht="15" x14ac:dyDescent="0.35">
      <c r="A13" s="6" t="s">
        <v>60</v>
      </c>
      <c r="B13" s="7">
        <f t="shared" si="0"/>
        <v>19</v>
      </c>
      <c r="C13" s="7">
        <v>6</v>
      </c>
      <c r="D13" s="7">
        <v>8</v>
      </c>
      <c r="E13" s="7">
        <v>5</v>
      </c>
      <c r="F13" s="7">
        <v>25</v>
      </c>
      <c r="G13" s="7">
        <v>24</v>
      </c>
      <c r="H13" s="7">
        <f t="shared" si="1"/>
        <v>26</v>
      </c>
      <c r="I13" s="8">
        <f t="shared" si="2"/>
        <v>0.45614035087719296</v>
      </c>
      <c r="J13" s="7">
        <f t="shared" si="3"/>
        <v>19</v>
      </c>
      <c r="K13" s="7">
        <v>5</v>
      </c>
      <c r="L13" s="7">
        <v>6</v>
      </c>
      <c r="M13" s="7">
        <v>8</v>
      </c>
      <c r="N13" s="7">
        <v>20</v>
      </c>
      <c r="O13" s="7">
        <v>27</v>
      </c>
      <c r="P13" s="7">
        <f t="shared" si="4"/>
        <v>21</v>
      </c>
      <c r="Q13" s="8">
        <f t="shared" si="5"/>
        <v>0.36842105263157893</v>
      </c>
    </row>
    <row r="14" spans="1:17" ht="15" x14ac:dyDescent="0.35">
      <c r="A14" s="3" t="s">
        <v>65</v>
      </c>
      <c r="B14" s="4">
        <f t="shared" si="0"/>
        <v>19</v>
      </c>
      <c r="C14" s="4">
        <v>7</v>
      </c>
      <c r="D14" s="4">
        <v>7</v>
      </c>
      <c r="E14" s="4">
        <v>5</v>
      </c>
      <c r="F14" s="4">
        <v>19</v>
      </c>
      <c r="G14" s="4">
        <v>17</v>
      </c>
      <c r="H14" s="4">
        <f t="shared" si="1"/>
        <v>28</v>
      </c>
      <c r="I14" s="5">
        <f t="shared" si="2"/>
        <v>0.49122807017543857</v>
      </c>
      <c r="J14" s="4">
        <f t="shared" si="3"/>
        <v>19</v>
      </c>
      <c r="K14" s="4">
        <v>5</v>
      </c>
      <c r="L14" s="4">
        <v>3</v>
      </c>
      <c r="M14" s="4">
        <v>11</v>
      </c>
      <c r="N14" s="4">
        <v>14</v>
      </c>
      <c r="O14" s="4">
        <v>22</v>
      </c>
      <c r="P14" s="4">
        <f t="shared" si="4"/>
        <v>18</v>
      </c>
      <c r="Q14" s="5">
        <f t="shared" si="5"/>
        <v>0.31578947368421051</v>
      </c>
    </row>
    <row r="15" spans="1:17" ht="15" x14ac:dyDescent="0.35">
      <c r="A15" s="6" t="s">
        <v>69</v>
      </c>
      <c r="B15" s="7">
        <f t="shared" si="0"/>
        <v>19</v>
      </c>
      <c r="C15" s="7">
        <v>8</v>
      </c>
      <c r="D15" s="7">
        <v>3</v>
      </c>
      <c r="E15" s="7">
        <v>8</v>
      </c>
      <c r="F15" s="7">
        <v>25</v>
      </c>
      <c r="G15" s="7">
        <v>24</v>
      </c>
      <c r="H15" s="7">
        <f t="shared" si="1"/>
        <v>27</v>
      </c>
      <c r="I15" s="8">
        <f t="shared" si="2"/>
        <v>0.47368421052631576</v>
      </c>
      <c r="J15" s="7">
        <f t="shared" si="3"/>
        <v>19</v>
      </c>
      <c r="K15" s="7">
        <v>4</v>
      </c>
      <c r="L15" s="7">
        <v>6</v>
      </c>
      <c r="M15" s="7">
        <v>9</v>
      </c>
      <c r="N15" s="7">
        <v>18</v>
      </c>
      <c r="O15" s="7">
        <v>24</v>
      </c>
      <c r="P15" s="7">
        <f t="shared" si="4"/>
        <v>18</v>
      </c>
      <c r="Q15" s="8">
        <f t="shared" si="5"/>
        <v>0.31578947368421051</v>
      </c>
    </row>
    <row r="16" spans="1:17" ht="15" x14ac:dyDescent="0.35">
      <c r="A16" s="3" t="s">
        <v>73</v>
      </c>
      <c r="B16" s="4">
        <f t="shared" si="0"/>
        <v>19</v>
      </c>
      <c r="C16" s="4">
        <v>8</v>
      </c>
      <c r="D16" s="4">
        <v>6</v>
      </c>
      <c r="E16" s="4">
        <v>5</v>
      </c>
      <c r="F16" s="4">
        <v>26</v>
      </c>
      <c r="G16" s="4">
        <v>24</v>
      </c>
      <c r="H16" s="4">
        <f t="shared" si="1"/>
        <v>30</v>
      </c>
      <c r="I16" s="5">
        <f t="shared" si="2"/>
        <v>0.52631578947368418</v>
      </c>
      <c r="J16" s="4">
        <f t="shared" si="3"/>
        <v>19</v>
      </c>
      <c r="K16" s="4">
        <v>3</v>
      </c>
      <c r="L16" s="4">
        <v>6</v>
      </c>
      <c r="M16" s="4">
        <v>10</v>
      </c>
      <c r="N16" s="4">
        <v>19</v>
      </c>
      <c r="O16" s="4">
        <v>32</v>
      </c>
      <c r="P16" s="4">
        <f t="shared" si="4"/>
        <v>15</v>
      </c>
      <c r="Q16" s="5">
        <f t="shared" si="5"/>
        <v>0.26315789473684209</v>
      </c>
    </row>
    <row r="17" spans="1:17" ht="15" x14ac:dyDescent="0.35">
      <c r="A17" s="6" t="s">
        <v>76</v>
      </c>
      <c r="B17" s="7">
        <f t="shared" si="0"/>
        <v>19</v>
      </c>
      <c r="C17" s="7">
        <v>7</v>
      </c>
      <c r="D17" s="7">
        <v>7</v>
      </c>
      <c r="E17" s="7">
        <v>5</v>
      </c>
      <c r="F17" s="7">
        <v>24</v>
      </c>
      <c r="G17" s="7">
        <v>20</v>
      </c>
      <c r="H17" s="7">
        <f t="shared" si="1"/>
        <v>28</v>
      </c>
      <c r="I17" s="8">
        <f t="shared" si="2"/>
        <v>0.49122807017543857</v>
      </c>
      <c r="J17" s="7">
        <f t="shared" si="3"/>
        <v>19</v>
      </c>
      <c r="K17" s="7">
        <v>3</v>
      </c>
      <c r="L17" s="7">
        <v>7</v>
      </c>
      <c r="M17" s="7">
        <v>9</v>
      </c>
      <c r="N17" s="7">
        <v>16</v>
      </c>
      <c r="O17" s="7">
        <v>28</v>
      </c>
      <c r="P17" s="7">
        <f t="shared" si="4"/>
        <v>16</v>
      </c>
      <c r="Q17" s="8">
        <f t="shared" si="5"/>
        <v>0.2807017543859649</v>
      </c>
    </row>
    <row r="18" spans="1:17" ht="15" x14ac:dyDescent="0.35">
      <c r="A18" s="3" t="s">
        <v>79</v>
      </c>
      <c r="B18" s="4">
        <f t="shared" si="0"/>
        <v>19</v>
      </c>
      <c r="C18" s="4">
        <v>7</v>
      </c>
      <c r="D18" s="4">
        <v>4</v>
      </c>
      <c r="E18" s="4">
        <v>8</v>
      </c>
      <c r="F18" s="4">
        <v>22</v>
      </c>
      <c r="G18" s="4">
        <v>22</v>
      </c>
      <c r="H18" s="4">
        <f t="shared" si="1"/>
        <v>25</v>
      </c>
      <c r="I18" s="5">
        <f t="shared" si="2"/>
        <v>0.43859649122807015</v>
      </c>
      <c r="J18" s="4">
        <f t="shared" si="3"/>
        <v>19</v>
      </c>
      <c r="K18" s="4">
        <v>4</v>
      </c>
      <c r="L18" s="4">
        <v>5</v>
      </c>
      <c r="M18" s="4">
        <v>10</v>
      </c>
      <c r="N18" s="4">
        <v>18</v>
      </c>
      <c r="O18" s="4">
        <v>25</v>
      </c>
      <c r="P18" s="4">
        <f t="shared" si="4"/>
        <v>17</v>
      </c>
      <c r="Q18" s="5">
        <f t="shared" si="5"/>
        <v>0.2982456140350877</v>
      </c>
    </row>
    <row r="19" spans="1:17" ht="15" x14ac:dyDescent="0.35">
      <c r="A19" s="6" t="s">
        <v>84</v>
      </c>
      <c r="B19" s="7">
        <f t="shared" si="0"/>
        <v>19</v>
      </c>
      <c r="C19" s="7">
        <v>5</v>
      </c>
      <c r="D19" s="7">
        <v>8</v>
      </c>
      <c r="E19" s="7">
        <v>6</v>
      </c>
      <c r="F19" s="7">
        <v>22</v>
      </c>
      <c r="G19" s="7">
        <v>23</v>
      </c>
      <c r="H19" s="7">
        <f t="shared" si="1"/>
        <v>23</v>
      </c>
      <c r="I19" s="8">
        <f t="shared" si="2"/>
        <v>0.40350877192982454</v>
      </c>
      <c r="J19" s="7">
        <f t="shared" si="3"/>
        <v>19</v>
      </c>
      <c r="K19" s="7">
        <v>4</v>
      </c>
      <c r="L19" s="7">
        <v>3</v>
      </c>
      <c r="M19" s="7">
        <v>12</v>
      </c>
      <c r="N19" s="7">
        <v>20</v>
      </c>
      <c r="O19" s="7">
        <v>34</v>
      </c>
      <c r="P19" s="7">
        <f t="shared" si="4"/>
        <v>15</v>
      </c>
      <c r="Q19" s="8">
        <f t="shared" si="5"/>
        <v>0.26315789473684209</v>
      </c>
    </row>
    <row r="20" spans="1:17" ht="15" x14ac:dyDescent="0.35">
      <c r="A20" s="3" t="s">
        <v>88</v>
      </c>
      <c r="B20" s="4">
        <f t="shared" si="0"/>
        <v>19</v>
      </c>
      <c r="C20" s="4">
        <v>4</v>
      </c>
      <c r="D20" s="4">
        <v>6</v>
      </c>
      <c r="E20" s="4">
        <v>9</v>
      </c>
      <c r="F20" s="4">
        <v>14</v>
      </c>
      <c r="G20" s="4">
        <v>22</v>
      </c>
      <c r="H20" s="4">
        <f t="shared" si="1"/>
        <v>18</v>
      </c>
      <c r="I20" s="5">
        <f t="shared" si="2"/>
        <v>0.31578947368421051</v>
      </c>
      <c r="J20" s="4">
        <f t="shared" si="3"/>
        <v>19</v>
      </c>
      <c r="K20" s="4">
        <v>3</v>
      </c>
      <c r="L20" s="4">
        <v>3</v>
      </c>
      <c r="M20" s="4">
        <v>13</v>
      </c>
      <c r="N20" s="4">
        <v>15</v>
      </c>
      <c r="O20" s="4">
        <v>35</v>
      </c>
      <c r="P20" s="4">
        <f t="shared" si="4"/>
        <v>12</v>
      </c>
      <c r="Q20" s="5">
        <f t="shared" si="5"/>
        <v>0.21052631578947367</v>
      </c>
    </row>
    <row r="21" spans="1:17" ht="15" x14ac:dyDescent="0.35">
      <c r="A21" s="6" t="s">
        <v>91</v>
      </c>
      <c r="B21" s="7">
        <f t="shared" si="0"/>
        <v>19</v>
      </c>
      <c r="C21" s="7">
        <v>3</v>
      </c>
      <c r="D21" s="7">
        <v>7</v>
      </c>
      <c r="E21" s="7">
        <v>9</v>
      </c>
      <c r="F21" s="7">
        <v>13</v>
      </c>
      <c r="G21" s="7">
        <v>23</v>
      </c>
      <c r="H21" s="7">
        <f t="shared" si="1"/>
        <v>16</v>
      </c>
      <c r="I21" s="8">
        <f t="shared" si="2"/>
        <v>0.2807017543859649</v>
      </c>
      <c r="J21" s="7">
        <f t="shared" si="3"/>
        <v>19</v>
      </c>
      <c r="K21" s="7">
        <v>3</v>
      </c>
      <c r="L21" s="7">
        <v>5</v>
      </c>
      <c r="M21" s="7">
        <v>11</v>
      </c>
      <c r="N21" s="7">
        <v>16</v>
      </c>
      <c r="O21" s="7">
        <v>36</v>
      </c>
      <c r="P21" s="7">
        <f t="shared" si="4"/>
        <v>14</v>
      </c>
      <c r="Q21" s="8">
        <f t="shared" si="5"/>
        <v>0.24561403508771928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A3" sqref="A1:XFD3"/>
    </sheetView>
  </sheetViews>
  <sheetFormatPr defaultRowHeight="14.4" x14ac:dyDescent="0.3"/>
  <cols>
    <col min="1" max="1" width="22" customWidth="1"/>
    <col min="2" max="2" width="30" customWidth="1"/>
    <col min="3" max="3" width="17" customWidth="1"/>
    <col min="4" max="4" width="24" customWidth="1"/>
    <col min="5" max="5" width="16" customWidth="1"/>
    <col min="6" max="6" width="24" customWidth="1"/>
    <col min="7" max="7" width="26" customWidth="1"/>
    <col min="8" max="8" width="24" customWidth="1"/>
  </cols>
  <sheetData>
    <row r="1" spans="1:8" ht="33.6" x14ac:dyDescent="0.3">
      <c r="A1" s="1" t="s">
        <v>0</v>
      </c>
      <c r="B1" s="1" t="s">
        <v>150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156</v>
      </c>
    </row>
    <row r="2" spans="1:8" ht="15" x14ac:dyDescent="0.35">
      <c r="A2" s="3" t="s">
        <v>22</v>
      </c>
      <c r="B2" s="3" t="s">
        <v>157</v>
      </c>
      <c r="C2" s="15">
        <v>19</v>
      </c>
      <c r="D2" s="16">
        <v>1012450</v>
      </c>
      <c r="E2" s="16">
        <f t="shared" ref="E2:E21" si="0">D2/C2</f>
        <v>53286.84210526316</v>
      </c>
      <c r="F2" s="17">
        <v>59410250</v>
      </c>
      <c r="G2" s="17">
        <f t="shared" ref="G2:G21" si="1">F2/C2</f>
        <v>3126855.2631578948</v>
      </c>
      <c r="H2" s="17">
        <f t="shared" ref="H2:H21" si="2">F2/D2</f>
        <v>58.679687885821522</v>
      </c>
    </row>
    <row r="3" spans="1:8" ht="15" x14ac:dyDescent="0.35">
      <c r="A3" s="6" t="s">
        <v>36</v>
      </c>
      <c r="B3" s="6" t="s">
        <v>158</v>
      </c>
      <c r="C3" s="18">
        <v>19</v>
      </c>
      <c r="D3" s="19">
        <v>915200</v>
      </c>
      <c r="E3" s="19">
        <f t="shared" si="0"/>
        <v>48168.42105263158</v>
      </c>
      <c r="F3" s="20">
        <v>45230100</v>
      </c>
      <c r="G3" s="20">
        <f t="shared" si="1"/>
        <v>2380531.5789473685</v>
      </c>
      <c r="H3" s="20">
        <f t="shared" si="2"/>
        <v>49.421000874125873</v>
      </c>
    </row>
    <row r="4" spans="1:8" ht="15" x14ac:dyDescent="0.35">
      <c r="A4" s="3" t="s">
        <v>41</v>
      </c>
      <c r="B4" s="3" t="s">
        <v>159</v>
      </c>
      <c r="C4" s="15">
        <v>19</v>
      </c>
      <c r="D4" s="16">
        <v>874100</v>
      </c>
      <c r="E4" s="16">
        <f t="shared" si="0"/>
        <v>46005.26315789474</v>
      </c>
      <c r="F4" s="17">
        <v>52140800</v>
      </c>
      <c r="G4" s="17">
        <f t="shared" si="1"/>
        <v>2744252.6315789474</v>
      </c>
      <c r="H4" s="17">
        <f t="shared" si="2"/>
        <v>59.650840864889602</v>
      </c>
    </row>
    <row r="5" spans="1:8" ht="15" x14ac:dyDescent="0.35">
      <c r="A5" s="6" t="s">
        <v>16</v>
      </c>
      <c r="B5" s="6" t="s">
        <v>160</v>
      </c>
      <c r="C5" s="18">
        <v>19</v>
      </c>
      <c r="D5" s="19">
        <v>685400</v>
      </c>
      <c r="E5" s="19">
        <f t="shared" si="0"/>
        <v>36073.684210526313</v>
      </c>
      <c r="F5" s="20">
        <v>46890300</v>
      </c>
      <c r="G5" s="20">
        <f t="shared" si="1"/>
        <v>2467910.5263157897</v>
      </c>
      <c r="H5" s="20">
        <f t="shared" si="2"/>
        <v>68.413043478260875</v>
      </c>
    </row>
    <row r="6" spans="1:8" ht="15" x14ac:dyDescent="0.35">
      <c r="A6" s="3" t="s">
        <v>46</v>
      </c>
      <c r="B6" s="3" t="s">
        <v>161</v>
      </c>
      <c r="C6" s="15">
        <v>19</v>
      </c>
      <c r="D6" s="16">
        <v>695200</v>
      </c>
      <c r="E6" s="16">
        <f t="shared" si="0"/>
        <v>36589.473684210527</v>
      </c>
      <c r="F6" s="17">
        <v>21450600</v>
      </c>
      <c r="G6" s="17">
        <f t="shared" si="1"/>
        <v>1128978.9473684211</v>
      </c>
      <c r="H6" s="17">
        <f t="shared" si="2"/>
        <v>30.855293440736478</v>
      </c>
    </row>
    <row r="7" spans="1:8" ht="15" x14ac:dyDescent="0.35">
      <c r="A7" s="6" t="s">
        <v>60</v>
      </c>
      <c r="B7" s="6" t="s">
        <v>162</v>
      </c>
      <c r="C7" s="18">
        <v>19</v>
      </c>
      <c r="D7" s="19">
        <v>645100</v>
      </c>
      <c r="E7" s="19">
        <f t="shared" si="0"/>
        <v>33952.631578947367</v>
      </c>
      <c r="F7" s="20">
        <v>28750400</v>
      </c>
      <c r="G7" s="20">
        <f t="shared" si="1"/>
        <v>1513178.9473684211</v>
      </c>
      <c r="H7" s="20">
        <f t="shared" si="2"/>
        <v>44.567353898620368</v>
      </c>
    </row>
    <row r="8" spans="1:8" ht="15" x14ac:dyDescent="0.35">
      <c r="A8" s="3" t="s">
        <v>49</v>
      </c>
      <c r="B8" s="3" t="s">
        <v>163</v>
      </c>
      <c r="C8" s="15">
        <v>19</v>
      </c>
      <c r="D8" s="16">
        <v>632800</v>
      </c>
      <c r="E8" s="16">
        <f t="shared" si="0"/>
        <v>33305.26315789474</v>
      </c>
      <c r="F8" s="17">
        <v>24120900</v>
      </c>
      <c r="G8" s="17">
        <f t="shared" si="1"/>
        <v>1269521.0526315789</v>
      </c>
      <c r="H8" s="17">
        <f t="shared" si="2"/>
        <v>38.117730720606829</v>
      </c>
    </row>
    <row r="9" spans="1:8" ht="15" x14ac:dyDescent="0.35">
      <c r="A9" s="6" t="s">
        <v>65</v>
      </c>
      <c r="B9" s="6" t="s">
        <v>157</v>
      </c>
      <c r="C9" s="18">
        <v>19</v>
      </c>
      <c r="D9" s="19">
        <v>598400</v>
      </c>
      <c r="E9" s="19">
        <f t="shared" si="0"/>
        <v>31494.736842105263</v>
      </c>
      <c r="F9" s="20">
        <v>22100500</v>
      </c>
      <c r="G9" s="20">
        <f t="shared" si="1"/>
        <v>1163184.2105263157</v>
      </c>
      <c r="H9" s="20">
        <f t="shared" si="2"/>
        <v>36.932653743315505</v>
      </c>
    </row>
    <row r="10" spans="1:8" ht="15" x14ac:dyDescent="0.35">
      <c r="A10" s="3" t="s">
        <v>11</v>
      </c>
      <c r="B10" s="3" t="s">
        <v>164</v>
      </c>
      <c r="C10" s="15">
        <v>19</v>
      </c>
      <c r="D10" s="16">
        <v>584200</v>
      </c>
      <c r="E10" s="16">
        <f t="shared" si="0"/>
        <v>30747.36842105263</v>
      </c>
      <c r="F10" s="17">
        <v>26840700</v>
      </c>
      <c r="G10" s="17">
        <f t="shared" si="1"/>
        <v>1412668.4210526317</v>
      </c>
      <c r="H10" s="17">
        <f t="shared" si="2"/>
        <v>45.944368366997601</v>
      </c>
    </row>
    <row r="11" spans="1:8" ht="15" x14ac:dyDescent="0.35">
      <c r="A11" s="6" t="s">
        <v>32</v>
      </c>
      <c r="B11" s="6" t="s">
        <v>165</v>
      </c>
      <c r="C11" s="18">
        <v>19</v>
      </c>
      <c r="D11" s="19">
        <v>521300</v>
      </c>
      <c r="E11" s="19">
        <f t="shared" si="0"/>
        <v>27436.842105263157</v>
      </c>
      <c r="F11" s="20">
        <v>17850200</v>
      </c>
      <c r="G11" s="20">
        <f t="shared" si="1"/>
        <v>939484.21052631584</v>
      </c>
      <c r="H11" s="20">
        <f t="shared" si="2"/>
        <v>34.241703433723387</v>
      </c>
    </row>
    <row r="12" spans="1:8" ht="15" x14ac:dyDescent="0.35">
      <c r="A12" s="3" t="s">
        <v>27</v>
      </c>
      <c r="B12" s="3" t="s">
        <v>166</v>
      </c>
      <c r="C12" s="15">
        <v>19</v>
      </c>
      <c r="D12" s="16">
        <v>512600</v>
      </c>
      <c r="E12" s="16">
        <f t="shared" si="0"/>
        <v>26978.947368421053</v>
      </c>
      <c r="F12" s="17">
        <v>14230100</v>
      </c>
      <c r="G12" s="17">
        <f t="shared" si="1"/>
        <v>748952.63157894742</v>
      </c>
      <c r="H12" s="17">
        <f t="shared" si="2"/>
        <v>27.760632071790869</v>
      </c>
    </row>
    <row r="13" spans="1:8" ht="15" x14ac:dyDescent="0.35">
      <c r="A13" s="6" t="s">
        <v>53</v>
      </c>
      <c r="B13" s="6" t="s">
        <v>167</v>
      </c>
      <c r="C13" s="18">
        <v>19</v>
      </c>
      <c r="D13" s="19">
        <v>418500</v>
      </c>
      <c r="E13" s="19">
        <f t="shared" si="0"/>
        <v>22026.315789473683</v>
      </c>
      <c r="F13" s="20">
        <v>18950400</v>
      </c>
      <c r="G13" s="20">
        <f t="shared" si="1"/>
        <v>997389.47368421056</v>
      </c>
      <c r="H13" s="20">
        <f t="shared" si="2"/>
        <v>45.281720430107526</v>
      </c>
    </row>
    <row r="14" spans="1:8" ht="15" x14ac:dyDescent="0.35">
      <c r="A14" s="3" t="s">
        <v>69</v>
      </c>
      <c r="B14" s="3" t="s">
        <v>168</v>
      </c>
      <c r="C14" s="15">
        <v>19</v>
      </c>
      <c r="D14" s="16">
        <v>395400</v>
      </c>
      <c r="E14" s="16">
        <f t="shared" si="0"/>
        <v>20810.526315789473</v>
      </c>
      <c r="F14" s="17">
        <v>13420800</v>
      </c>
      <c r="G14" s="17">
        <f t="shared" si="1"/>
        <v>706357.89473684214</v>
      </c>
      <c r="H14" s="17">
        <f t="shared" si="2"/>
        <v>33.942336874051591</v>
      </c>
    </row>
    <row r="15" spans="1:8" ht="15" x14ac:dyDescent="0.35">
      <c r="A15" s="6" t="s">
        <v>56</v>
      </c>
      <c r="B15" s="6" t="s">
        <v>169</v>
      </c>
      <c r="C15" s="18">
        <v>19</v>
      </c>
      <c r="D15" s="19">
        <v>391200</v>
      </c>
      <c r="E15" s="19">
        <f t="shared" si="0"/>
        <v>20589.473684210527</v>
      </c>
      <c r="F15" s="20">
        <v>10840200</v>
      </c>
      <c r="G15" s="20">
        <f t="shared" si="1"/>
        <v>570536.84210526315</v>
      </c>
      <c r="H15" s="20">
        <f t="shared" si="2"/>
        <v>27.710122699386503</v>
      </c>
    </row>
    <row r="16" spans="1:8" ht="15" x14ac:dyDescent="0.35">
      <c r="A16" s="3" t="s">
        <v>79</v>
      </c>
      <c r="B16" s="3" t="s">
        <v>170</v>
      </c>
      <c r="C16" s="15">
        <v>19</v>
      </c>
      <c r="D16" s="16">
        <v>382100</v>
      </c>
      <c r="E16" s="16">
        <f t="shared" si="0"/>
        <v>20110.526315789473</v>
      </c>
      <c r="F16" s="17">
        <v>12950600</v>
      </c>
      <c r="G16" s="17">
        <f t="shared" si="1"/>
        <v>681610.52631578944</v>
      </c>
      <c r="H16" s="17">
        <f t="shared" si="2"/>
        <v>33.893221669719971</v>
      </c>
    </row>
    <row r="17" spans="1:8" ht="15" x14ac:dyDescent="0.35">
      <c r="A17" s="6" t="s">
        <v>84</v>
      </c>
      <c r="B17" s="6" t="s">
        <v>171</v>
      </c>
      <c r="C17" s="18">
        <v>19</v>
      </c>
      <c r="D17" s="19">
        <v>274500</v>
      </c>
      <c r="E17" s="19">
        <f t="shared" si="0"/>
        <v>14447.368421052632</v>
      </c>
      <c r="F17" s="20">
        <v>7890400</v>
      </c>
      <c r="G17" s="20">
        <f t="shared" si="1"/>
        <v>415284.21052631579</v>
      </c>
      <c r="H17" s="20">
        <f t="shared" si="2"/>
        <v>28.74462659380692</v>
      </c>
    </row>
    <row r="18" spans="1:8" ht="15" x14ac:dyDescent="0.35">
      <c r="A18" s="3" t="s">
        <v>73</v>
      </c>
      <c r="B18" s="3" t="s">
        <v>172</v>
      </c>
      <c r="C18" s="15">
        <v>19</v>
      </c>
      <c r="D18" s="16">
        <v>184200</v>
      </c>
      <c r="E18" s="16">
        <f t="shared" si="0"/>
        <v>9694.7368421052633</v>
      </c>
      <c r="F18" s="17">
        <v>5120300</v>
      </c>
      <c r="G18" s="17">
        <f t="shared" si="1"/>
        <v>269489.4736842105</v>
      </c>
      <c r="H18" s="17">
        <f t="shared" si="2"/>
        <v>27.797502714440824</v>
      </c>
    </row>
    <row r="19" spans="1:8" ht="15" x14ac:dyDescent="0.35">
      <c r="A19" s="6" t="s">
        <v>76</v>
      </c>
      <c r="B19" s="6" t="s">
        <v>173</v>
      </c>
      <c r="C19" s="18">
        <v>19</v>
      </c>
      <c r="D19" s="19">
        <v>121500</v>
      </c>
      <c r="E19" s="19">
        <f t="shared" si="0"/>
        <v>6394.7368421052633</v>
      </c>
      <c r="F19" s="20">
        <v>4580100</v>
      </c>
      <c r="G19" s="20">
        <f t="shared" si="1"/>
        <v>241057.89473684211</v>
      </c>
      <c r="H19" s="20">
        <f t="shared" si="2"/>
        <v>37.696296296296296</v>
      </c>
    </row>
    <row r="20" spans="1:8" ht="15" x14ac:dyDescent="0.35">
      <c r="A20" s="3" t="s">
        <v>88</v>
      </c>
      <c r="B20" s="3" t="s">
        <v>174</v>
      </c>
      <c r="C20" s="15">
        <v>19</v>
      </c>
      <c r="D20" s="16">
        <v>138400</v>
      </c>
      <c r="E20" s="16">
        <f t="shared" si="0"/>
        <v>7284.2105263157891</v>
      </c>
      <c r="F20" s="17">
        <v>3950200</v>
      </c>
      <c r="G20" s="17">
        <f t="shared" si="1"/>
        <v>207905.26315789475</v>
      </c>
      <c r="H20" s="17">
        <f t="shared" si="2"/>
        <v>28.541907514450866</v>
      </c>
    </row>
    <row r="21" spans="1:8" ht="15" x14ac:dyDescent="0.35">
      <c r="A21" s="6" t="s">
        <v>91</v>
      </c>
      <c r="B21" s="6" t="s">
        <v>175</v>
      </c>
      <c r="C21" s="18">
        <v>19</v>
      </c>
      <c r="D21" s="19">
        <v>112800</v>
      </c>
      <c r="E21" s="19">
        <f t="shared" si="0"/>
        <v>5936.8421052631575</v>
      </c>
      <c r="F21" s="20">
        <v>3840100</v>
      </c>
      <c r="G21" s="20">
        <f t="shared" si="1"/>
        <v>202110.52631578947</v>
      </c>
      <c r="H21" s="20">
        <f t="shared" si="2"/>
        <v>34.043439716312058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Desempenho por Esquema Tático</vt:lpstr>
      <vt:lpstr>Classificação &amp; Tática</vt:lpstr>
      <vt:lpstr>Casa vs Visitante</vt:lpstr>
      <vt:lpstr>Público e Renda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NUNES DA COSTA</cp:lastModifiedBy>
  <dcterms:created xsi:type="dcterms:W3CDTF">2026-09-11T05:20:40Z</dcterms:created>
  <dcterms:modified xsi:type="dcterms:W3CDTF">2026-09-11T20:40:33Z</dcterms:modified>
</cp:coreProperties>
</file>
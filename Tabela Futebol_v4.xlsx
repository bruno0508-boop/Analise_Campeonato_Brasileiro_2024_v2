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ower_BI_Data_Science_Academy\Projeto Futebol\Analise-do-Campeonato-Brasileiro-Serie-A-2024\"/>
    </mc:Choice>
  </mc:AlternateContent>
  <xr:revisionPtr revIDLastSave="0" documentId="13_ncr:1_{5AFEC3C2-841C-4A45-A7CD-ECFE164A9042}" xr6:coauthVersionLast="47" xr6:coauthVersionMax="47" xr10:uidLastSave="{00000000-0000-0000-0000-000000000000}"/>
  <bookViews>
    <workbookView xWindow="-108" yWindow="-108" windowWidth="23256" windowHeight="12576" activeTab="1" xr2:uid="{BB45FEE3-C610-4FE1-8211-554FCBD98C50}"/>
  </bookViews>
  <sheets>
    <sheet name="Atletas" sheetId="1" r:id="rId1"/>
    <sheet name="Clube" sheetId="3" r:id="rId2"/>
  </sheets>
  <definedNames>
    <definedName name="_xlnm._FilterDatabase" localSheetId="0" hidden="1">Atletas!$A$1:$V$650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" i="3" l="1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F3" i="3" s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F16" i="3" s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F18" i="3" s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F9" i="3" s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F14" i="3" s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F4" i="3" s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F15" i="3" s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F5" i="3" s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F20" i="3" s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F6" i="3" s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F7" i="3" s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F19" i="3" s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F21" i="3" s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F11" i="3" s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F8" i="3" s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F13" i="3" s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F10" i="3" s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F17" i="3" s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F12" i="3" s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2" i="1"/>
  <c r="F2" i="3" s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2" i="1"/>
  <c r="T650" i="1"/>
  <c r="U650" i="1" s="1"/>
  <c r="V650" i="1" s="1"/>
  <c r="O650" i="1"/>
  <c r="E650" i="1"/>
  <c r="Q650" i="1" s="1"/>
  <c r="T649" i="1"/>
  <c r="U649" i="1" s="1"/>
  <c r="V649" i="1" s="1"/>
  <c r="T648" i="1"/>
  <c r="U648" i="1" s="1"/>
  <c r="V648" i="1" s="1"/>
  <c r="T647" i="1"/>
  <c r="U647" i="1" s="1"/>
  <c r="V647" i="1" s="1"/>
  <c r="O649" i="1"/>
  <c r="E649" i="1"/>
  <c r="Q649" i="1" s="1"/>
  <c r="O648" i="1"/>
  <c r="E648" i="1"/>
  <c r="Q648" i="1" s="1"/>
  <c r="O647" i="1"/>
  <c r="E647" i="1"/>
  <c r="Q647" i="1" s="1"/>
  <c r="E325" i="1"/>
  <c r="Q325" i="1" s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516" i="1"/>
  <c r="T401" i="1"/>
  <c r="U401" i="1" s="1"/>
  <c r="V401" i="1" s="1"/>
  <c r="T402" i="1"/>
  <c r="U402" i="1" s="1"/>
  <c r="V402" i="1" s="1"/>
  <c r="T403" i="1"/>
  <c r="U403" i="1" s="1"/>
  <c r="V403" i="1" s="1"/>
  <c r="T404" i="1"/>
  <c r="U404" i="1" s="1"/>
  <c r="V404" i="1" s="1"/>
  <c r="T405" i="1"/>
  <c r="U405" i="1" s="1"/>
  <c r="V405" i="1" s="1"/>
  <c r="T406" i="1"/>
  <c r="U406" i="1" s="1"/>
  <c r="V406" i="1" s="1"/>
  <c r="T407" i="1"/>
  <c r="U407" i="1" s="1"/>
  <c r="V407" i="1" s="1"/>
  <c r="T408" i="1"/>
  <c r="U408" i="1" s="1"/>
  <c r="V408" i="1" s="1"/>
  <c r="T409" i="1"/>
  <c r="U409" i="1" s="1"/>
  <c r="V409" i="1" s="1"/>
  <c r="T410" i="1"/>
  <c r="U410" i="1" s="1"/>
  <c r="V410" i="1" s="1"/>
  <c r="T411" i="1"/>
  <c r="U411" i="1" s="1"/>
  <c r="V411" i="1" s="1"/>
  <c r="T412" i="1"/>
  <c r="U412" i="1" s="1"/>
  <c r="V412" i="1" s="1"/>
  <c r="T413" i="1"/>
  <c r="U413" i="1" s="1"/>
  <c r="V413" i="1" s="1"/>
  <c r="T414" i="1"/>
  <c r="U414" i="1" s="1"/>
  <c r="V414" i="1" s="1"/>
  <c r="T415" i="1"/>
  <c r="U415" i="1" s="1"/>
  <c r="V415" i="1" s="1"/>
  <c r="T416" i="1"/>
  <c r="U416" i="1" s="1"/>
  <c r="V416" i="1" s="1"/>
  <c r="T417" i="1"/>
  <c r="U417" i="1" s="1"/>
  <c r="V417" i="1" s="1"/>
  <c r="T418" i="1"/>
  <c r="U418" i="1" s="1"/>
  <c r="V418" i="1" s="1"/>
  <c r="T419" i="1"/>
  <c r="U419" i="1" s="1"/>
  <c r="V419" i="1" s="1"/>
  <c r="T420" i="1"/>
  <c r="U420" i="1" s="1"/>
  <c r="V420" i="1" s="1"/>
  <c r="T421" i="1"/>
  <c r="U421" i="1" s="1"/>
  <c r="V421" i="1" s="1"/>
  <c r="T454" i="1"/>
  <c r="U454" i="1" s="1"/>
  <c r="V454" i="1" s="1"/>
  <c r="T455" i="1"/>
  <c r="U455" i="1" s="1"/>
  <c r="V455" i="1" s="1"/>
  <c r="T456" i="1"/>
  <c r="U456" i="1" s="1"/>
  <c r="V456" i="1" s="1"/>
  <c r="T457" i="1"/>
  <c r="U457" i="1" s="1"/>
  <c r="V457" i="1" s="1"/>
  <c r="T458" i="1"/>
  <c r="U458" i="1" s="1"/>
  <c r="V458" i="1" s="1"/>
  <c r="T459" i="1"/>
  <c r="U459" i="1" s="1"/>
  <c r="V459" i="1" s="1"/>
  <c r="T460" i="1"/>
  <c r="U460" i="1" s="1"/>
  <c r="V460" i="1" s="1"/>
  <c r="T461" i="1"/>
  <c r="U461" i="1" s="1"/>
  <c r="V461" i="1" s="1"/>
  <c r="T462" i="1"/>
  <c r="U462" i="1" s="1"/>
  <c r="V462" i="1" s="1"/>
  <c r="T463" i="1"/>
  <c r="U463" i="1" s="1"/>
  <c r="V463" i="1" s="1"/>
  <c r="T464" i="1"/>
  <c r="U464" i="1" s="1"/>
  <c r="V464" i="1" s="1"/>
  <c r="T465" i="1"/>
  <c r="U465" i="1" s="1"/>
  <c r="V465" i="1" s="1"/>
  <c r="T466" i="1"/>
  <c r="U466" i="1" s="1"/>
  <c r="V466" i="1" s="1"/>
  <c r="T467" i="1"/>
  <c r="U467" i="1" s="1"/>
  <c r="V467" i="1" s="1"/>
  <c r="T468" i="1"/>
  <c r="U468" i="1" s="1"/>
  <c r="V468" i="1" s="1"/>
  <c r="T469" i="1"/>
  <c r="U469" i="1" s="1"/>
  <c r="V469" i="1" s="1"/>
  <c r="T470" i="1"/>
  <c r="U470" i="1" s="1"/>
  <c r="V470" i="1" s="1"/>
  <c r="T471" i="1"/>
  <c r="U471" i="1" s="1"/>
  <c r="V471" i="1" s="1"/>
  <c r="T472" i="1"/>
  <c r="U472" i="1" s="1"/>
  <c r="V472" i="1" s="1"/>
  <c r="T473" i="1"/>
  <c r="U473" i="1" s="1"/>
  <c r="V473" i="1" s="1"/>
  <c r="T474" i="1"/>
  <c r="U474" i="1" s="1"/>
  <c r="V474" i="1" s="1"/>
  <c r="T475" i="1"/>
  <c r="U475" i="1" s="1"/>
  <c r="V475" i="1" s="1"/>
  <c r="T476" i="1"/>
  <c r="U476" i="1" s="1"/>
  <c r="V476" i="1" s="1"/>
  <c r="T477" i="1"/>
  <c r="U477" i="1" s="1"/>
  <c r="V477" i="1" s="1"/>
  <c r="T478" i="1"/>
  <c r="U478" i="1" s="1"/>
  <c r="V478" i="1" s="1"/>
  <c r="T479" i="1"/>
  <c r="U479" i="1" s="1"/>
  <c r="V479" i="1" s="1"/>
  <c r="T480" i="1"/>
  <c r="U480" i="1" s="1"/>
  <c r="V480" i="1" s="1"/>
  <c r="T481" i="1"/>
  <c r="U481" i="1" s="1"/>
  <c r="V481" i="1" s="1"/>
  <c r="T482" i="1"/>
  <c r="U482" i="1" s="1"/>
  <c r="V482" i="1" s="1"/>
  <c r="T483" i="1"/>
  <c r="U483" i="1" s="1"/>
  <c r="V483" i="1" s="1"/>
  <c r="T484" i="1"/>
  <c r="U484" i="1" s="1"/>
  <c r="V484" i="1" s="1"/>
  <c r="T485" i="1"/>
  <c r="U485" i="1" s="1"/>
  <c r="V485" i="1" s="1"/>
  <c r="T486" i="1"/>
  <c r="U486" i="1" s="1"/>
  <c r="V486" i="1" s="1"/>
  <c r="T311" i="1"/>
  <c r="U311" i="1" s="1"/>
  <c r="V311" i="1" s="1"/>
  <c r="T312" i="1"/>
  <c r="U312" i="1" s="1"/>
  <c r="V312" i="1" s="1"/>
  <c r="T313" i="1"/>
  <c r="U313" i="1" s="1"/>
  <c r="V313" i="1" s="1"/>
  <c r="T314" i="1"/>
  <c r="U314" i="1" s="1"/>
  <c r="V314" i="1" s="1"/>
  <c r="T315" i="1"/>
  <c r="U315" i="1" s="1"/>
  <c r="V315" i="1" s="1"/>
  <c r="T316" i="1"/>
  <c r="U316" i="1" s="1"/>
  <c r="V316" i="1" s="1"/>
  <c r="T317" i="1"/>
  <c r="U317" i="1" s="1"/>
  <c r="V317" i="1" s="1"/>
  <c r="T318" i="1"/>
  <c r="U318" i="1" s="1"/>
  <c r="V318" i="1" s="1"/>
  <c r="T319" i="1"/>
  <c r="U319" i="1" s="1"/>
  <c r="V319" i="1" s="1"/>
  <c r="T320" i="1"/>
  <c r="U320" i="1" s="1"/>
  <c r="V320" i="1" s="1"/>
  <c r="T321" i="1"/>
  <c r="U321" i="1" s="1"/>
  <c r="V321" i="1" s="1"/>
  <c r="T322" i="1"/>
  <c r="U322" i="1" s="1"/>
  <c r="V322" i="1" s="1"/>
  <c r="T323" i="1"/>
  <c r="U323" i="1" s="1"/>
  <c r="V323" i="1" s="1"/>
  <c r="T324" i="1"/>
  <c r="U324" i="1" s="1"/>
  <c r="V324" i="1" s="1"/>
  <c r="T325" i="1"/>
  <c r="U325" i="1" s="1"/>
  <c r="V325" i="1" s="1"/>
  <c r="T326" i="1"/>
  <c r="U326" i="1" s="1"/>
  <c r="V326" i="1" s="1"/>
  <c r="T327" i="1"/>
  <c r="U327" i="1" s="1"/>
  <c r="V327" i="1" s="1"/>
  <c r="T328" i="1"/>
  <c r="U328" i="1" s="1"/>
  <c r="V328" i="1" s="1"/>
  <c r="T329" i="1"/>
  <c r="U329" i="1" s="1"/>
  <c r="V329" i="1" s="1"/>
  <c r="T330" i="1"/>
  <c r="U330" i="1" s="1"/>
  <c r="V330" i="1" s="1"/>
  <c r="T331" i="1"/>
  <c r="U331" i="1" s="1"/>
  <c r="V331" i="1" s="1"/>
  <c r="T332" i="1"/>
  <c r="U332" i="1" s="1"/>
  <c r="V332" i="1" s="1"/>
  <c r="T333" i="1"/>
  <c r="U333" i="1" s="1"/>
  <c r="V333" i="1" s="1"/>
  <c r="T334" i="1"/>
  <c r="U334" i="1" s="1"/>
  <c r="V334" i="1" s="1"/>
  <c r="T335" i="1"/>
  <c r="U335" i="1" s="1"/>
  <c r="V335" i="1" s="1"/>
  <c r="T336" i="1"/>
  <c r="U336" i="1" s="1"/>
  <c r="V336" i="1" s="1"/>
  <c r="T337" i="1"/>
  <c r="U337" i="1" s="1"/>
  <c r="V337" i="1" s="1"/>
  <c r="T338" i="1"/>
  <c r="U338" i="1" s="1"/>
  <c r="V338" i="1" s="1"/>
  <c r="T339" i="1"/>
  <c r="U339" i="1" s="1"/>
  <c r="V339" i="1" s="1"/>
  <c r="T340" i="1"/>
  <c r="U340" i="1" s="1"/>
  <c r="V340" i="1" s="1"/>
  <c r="T341" i="1"/>
  <c r="U341" i="1" s="1"/>
  <c r="V341" i="1" s="1"/>
  <c r="T342" i="1"/>
  <c r="U342" i="1" s="1"/>
  <c r="V342" i="1" s="1"/>
  <c r="T343" i="1"/>
  <c r="U343" i="1" s="1"/>
  <c r="V343" i="1" s="1"/>
  <c r="T344" i="1"/>
  <c r="U344" i="1" s="1"/>
  <c r="V344" i="1" s="1"/>
  <c r="T345" i="1"/>
  <c r="U345" i="1" s="1"/>
  <c r="V345" i="1" s="1"/>
  <c r="T346" i="1"/>
  <c r="U346" i="1" s="1"/>
  <c r="V346" i="1" s="1"/>
  <c r="T347" i="1"/>
  <c r="U347" i="1" s="1"/>
  <c r="V347" i="1" s="1"/>
  <c r="T348" i="1"/>
  <c r="U348" i="1" s="1"/>
  <c r="V348" i="1" s="1"/>
  <c r="T349" i="1"/>
  <c r="U349" i="1" s="1"/>
  <c r="V349" i="1" s="1"/>
  <c r="T350" i="1"/>
  <c r="U350" i="1" s="1"/>
  <c r="V350" i="1" s="1"/>
  <c r="E367" i="1"/>
  <c r="Q367" i="1" s="1"/>
  <c r="E368" i="1"/>
  <c r="Q368" i="1" s="1"/>
  <c r="E369" i="1"/>
  <c r="Q369" i="1" s="1"/>
  <c r="E370" i="1"/>
  <c r="Q370" i="1" s="1"/>
  <c r="E371" i="1"/>
  <c r="Q371" i="1" s="1"/>
  <c r="E372" i="1"/>
  <c r="Q372" i="1" s="1"/>
  <c r="E373" i="1"/>
  <c r="Q373" i="1" s="1"/>
  <c r="E374" i="1"/>
  <c r="Q374" i="1" s="1"/>
  <c r="E375" i="1"/>
  <c r="Q375" i="1" s="1"/>
  <c r="E376" i="1"/>
  <c r="Q376" i="1" s="1"/>
  <c r="E377" i="1"/>
  <c r="Q377" i="1" s="1"/>
  <c r="E378" i="1"/>
  <c r="Q378" i="1" s="1"/>
  <c r="E379" i="1"/>
  <c r="Q379" i="1" s="1"/>
  <c r="E380" i="1"/>
  <c r="Q380" i="1" s="1"/>
  <c r="E381" i="1"/>
  <c r="Q381" i="1" s="1"/>
  <c r="E382" i="1"/>
  <c r="Q382" i="1" s="1"/>
  <c r="E383" i="1"/>
  <c r="Q383" i="1" s="1"/>
  <c r="E384" i="1"/>
  <c r="Q384" i="1" s="1"/>
  <c r="E385" i="1"/>
  <c r="Q385" i="1" s="1"/>
  <c r="E386" i="1"/>
  <c r="Q386" i="1" s="1"/>
  <c r="E387" i="1"/>
  <c r="Q387" i="1" s="1"/>
  <c r="E388" i="1"/>
  <c r="Q388" i="1" s="1"/>
  <c r="E389" i="1"/>
  <c r="Q389" i="1" s="1"/>
  <c r="E390" i="1"/>
  <c r="Q390" i="1" s="1"/>
  <c r="E391" i="1"/>
  <c r="Q391" i="1" s="1"/>
  <c r="E392" i="1"/>
  <c r="Q392" i="1" s="1"/>
  <c r="E393" i="1"/>
  <c r="Q393" i="1" s="1"/>
  <c r="E394" i="1"/>
  <c r="Q394" i="1" s="1"/>
  <c r="E395" i="1"/>
  <c r="Q395" i="1" s="1"/>
  <c r="E396" i="1"/>
  <c r="Q396" i="1" s="1"/>
  <c r="E397" i="1"/>
  <c r="Q397" i="1" s="1"/>
  <c r="E398" i="1"/>
  <c r="Q398" i="1" s="1"/>
  <c r="E399" i="1"/>
  <c r="Q399" i="1" s="1"/>
  <c r="E400" i="1"/>
  <c r="Q400" i="1" s="1"/>
  <c r="E401" i="1"/>
  <c r="Q401" i="1" s="1"/>
  <c r="E402" i="1"/>
  <c r="Q402" i="1" s="1"/>
  <c r="E403" i="1"/>
  <c r="Q403" i="1" s="1"/>
  <c r="E404" i="1"/>
  <c r="Q404" i="1" s="1"/>
  <c r="E405" i="1"/>
  <c r="Q405" i="1" s="1"/>
  <c r="E406" i="1"/>
  <c r="Q406" i="1" s="1"/>
  <c r="E407" i="1"/>
  <c r="Q407" i="1" s="1"/>
  <c r="E408" i="1"/>
  <c r="Q408" i="1" s="1"/>
  <c r="E409" i="1"/>
  <c r="Q409" i="1" s="1"/>
  <c r="E410" i="1"/>
  <c r="Q410" i="1" s="1"/>
  <c r="E411" i="1"/>
  <c r="Q411" i="1" s="1"/>
  <c r="E412" i="1"/>
  <c r="Q412" i="1" s="1"/>
  <c r="E413" i="1"/>
  <c r="Q413" i="1" s="1"/>
  <c r="E414" i="1"/>
  <c r="Q414" i="1" s="1"/>
  <c r="E415" i="1"/>
  <c r="Q415" i="1" s="1"/>
  <c r="E416" i="1"/>
  <c r="Q416" i="1" s="1"/>
  <c r="E417" i="1"/>
  <c r="Q417" i="1" s="1"/>
  <c r="E418" i="1"/>
  <c r="Q418" i="1" s="1"/>
  <c r="E419" i="1"/>
  <c r="Q419" i="1" s="1"/>
  <c r="E420" i="1"/>
  <c r="Q420" i="1" s="1"/>
  <c r="E421" i="1"/>
  <c r="Q421" i="1" s="1"/>
  <c r="E454" i="1"/>
  <c r="Q454" i="1" s="1"/>
  <c r="E455" i="1"/>
  <c r="Q455" i="1" s="1"/>
  <c r="E456" i="1"/>
  <c r="Q456" i="1" s="1"/>
  <c r="E457" i="1"/>
  <c r="Q457" i="1" s="1"/>
  <c r="E458" i="1"/>
  <c r="Q458" i="1" s="1"/>
  <c r="E459" i="1"/>
  <c r="Q459" i="1" s="1"/>
  <c r="E460" i="1"/>
  <c r="Q460" i="1" s="1"/>
  <c r="E461" i="1"/>
  <c r="Q461" i="1" s="1"/>
  <c r="E462" i="1"/>
  <c r="Q462" i="1" s="1"/>
  <c r="E463" i="1"/>
  <c r="Q463" i="1" s="1"/>
  <c r="E464" i="1"/>
  <c r="Q464" i="1" s="1"/>
  <c r="E465" i="1"/>
  <c r="Q465" i="1" s="1"/>
  <c r="E466" i="1"/>
  <c r="Q466" i="1" s="1"/>
  <c r="E467" i="1"/>
  <c r="Q467" i="1" s="1"/>
  <c r="E468" i="1"/>
  <c r="Q468" i="1" s="1"/>
  <c r="E469" i="1"/>
  <c r="Q469" i="1" s="1"/>
  <c r="E470" i="1"/>
  <c r="Q470" i="1" s="1"/>
  <c r="E471" i="1"/>
  <c r="Q471" i="1" s="1"/>
  <c r="E472" i="1"/>
  <c r="Q472" i="1" s="1"/>
  <c r="E473" i="1"/>
  <c r="Q473" i="1" s="1"/>
  <c r="E474" i="1"/>
  <c r="Q474" i="1" s="1"/>
  <c r="E475" i="1"/>
  <c r="Q475" i="1" s="1"/>
  <c r="E476" i="1"/>
  <c r="Q476" i="1" s="1"/>
  <c r="E477" i="1"/>
  <c r="Q477" i="1" s="1"/>
  <c r="E478" i="1"/>
  <c r="Q478" i="1" s="1"/>
  <c r="E479" i="1"/>
  <c r="Q479" i="1" s="1"/>
  <c r="E480" i="1"/>
  <c r="Q480" i="1" s="1"/>
  <c r="E481" i="1"/>
  <c r="Q481" i="1" s="1"/>
  <c r="E482" i="1"/>
  <c r="Q482" i="1" s="1"/>
  <c r="E483" i="1"/>
  <c r="Q483" i="1" s="1"/>
  <c r="E484" i="1"/>
  <c r="Q484" i="1" s="1"/>
  <c r="E485" i="1"/>
  <c r="Q485" i="1" s="1"/>
  <c r="E486" i="1"/>
  <c r="Q486" i="1" s="1"/>
  <c r="E311" i="1"/>
  <c r="Q311" i="1" s="1"/>
  <c r="E312" i="1"/>
  <c r="Q312" i="1" s="1"/>
  <c r="E313" i="1"/>
  <c r="Q313" i="1" s="1"/>
  <c r="E314" i="1"/>
  <c r="Q314" i="1" s="1"/>
  <c r="E315" i="1"/>
  <c r="Q315" i="1" s="1"/>
  <c r="E316" i="1"/>
  <c r="Q316" i="1" s="1"/>
  <c r="E317" i="1"/>
  <c r="Q317" i="1" s="1"/>
  <c r="E318" i="1"/>
  <c r="Q318" i="1" s="1"/>
  <c r="E319" i="1"/>
  <c r="Q319" i="1" s="1"/>
  <c r="E320" i="1"/>
  <c r="Q320" i="1" s="1"/>
  <c r="E321" i="1"/>
  <c r="Q321" i="1" s="1"/>
  <c r="E322" i="1"/>
  <c r="Q322" i="1" s="1"/>
  <c r="E323" i="1"/>
  <c r="Q323" i="1" s="1"/>
  <c r="E324" i="1"/>
  <c r="Q324" i="1" s="1"/>
  <c r="E326" i="1"/>
  <c r="Q326" i="1" s="1"/>
  <c r="E327" i="1"/>
  <c r="Q327" i="1" s="1"/>
  <c r="E328" i="1"/>
  <c r="Q328" i="1" s="1"/>
  <c r="E329" i="1"/>
  <c r="Q329" i="1" s="1"/>
  <c r="E330" i="1"/>
  <c r="Q330" i="1" s="1"/>
  <c r="E331" i="1"/>
  <c r="Q331" i="1" s="1"/>
  <c r="E332" i="1"/>
  <c r="Q332" i="1" s="1"/>
  <c r="E333" i="1"/>
  <c r="Q333" i="1" s="1"/>
  <c r="E334" i="1"/>
  <c r="Q334" i="1" s="1"/>
  <c r="E335" i="1"/>
  <c r="Q335" i="1" s="1"/>
  <c r="E336" i="1"/>
  <c r="Q336" i="1" s="1"/>
  <c r="E337" i="1"/>
  <c r="Q337" i="1" s="1"/>
  <c r="E338" i="1"/>
  <c r="Q338" i="1" s="1"/>
  <c r="E339" i="1"/>
  <c r="Q339" i="1" s="1"/>
  <c r="E340" i="1"/>
  <c r="Q340" i="1" s="1"/>
  <c r="E341" i="1"/>
  <c r="Q341" i="1" s="1"/>
  <c r="E342" i="1"/>
  <c r="Q342" i="1" s="1"/>
  <c r="E343" i="1"/>
  <c r="Q343" i="1" s="1"/>
  <c r="E344" i="1"/>
  <c r="Q344" i="1" s="1"/>
  <c r="E345" i="1"/>
  <c r="Q345" i="1" s="1"/>
  <c r="E346" i="1"/>
  <c r="Q346" i="1" s="1"/>
  <c r="E347" i="1"/>
  <c r="Q347" i="1" s="1"/>
  <c r="E348" i="1"/>
  <c r="Q348" i="1" s="1"/>
  <c r="E349" i="1"/>
  <c r="Q349" i="1" s="1"/>
  <c r="E350" i="1"/>
  <c r="Q350" i="1" s="1"/>
  <c r="E366" i="1"/>
  <c r="Q366" i="1" s="1"/>
  <c r="E573" i="1"/>
  <c r="Q573" i="1" s="1"/>
  <c r="E574" i="1"/>
  <c r="Q574" i="1" s="1"/>
  <c r="E575" i="1"/>
  <c r="Q575" i="1" s="1"/>
  <c r="E576" i="1"/>
  <c r="Q576" i="1" s="1"/>
  <c r="E577" i="1"/>
  <c r="Q577" i="1" s="1"/>
  <c r="E578" i="1"/>
  <c r="Q578" i="1" s="1"/>
  <c r="E579" i="1"/>
  <c r="Q579" i="1" s="1"/>
  <c r="E618" i="1"/>
  <c r="Q618" i="1" s="1"/>
  <c r="E619" i="1"/>
  <c r="Q619" i="1" s="1"/>
  <c r="E620" i="1"/>
  <c r="Q620" i="1" s="1"/>
  <c r="E621" i="1"/>
  <c r="Q621" i="1" s="1"/>
  <c r="E622" i="1"/>
  <c r="Q622" i="1" s="1"/>
  <c r="E623" i="1"/>
  <c r="Q623" i="1" s="1"/>
  <c r="E624" i="1"/>
  <c r="Q624" i="1" s="1"/>
  <c r="E625" i="1"/>
  <c r="Q625" i="1" s="1"/>
  <c r="E626" i="1"/>
  <c r="Q626" i="1" s="1"/>
  <c r="E627" i="1"/>
  <c r="Q627" i="1" s="1"/>
  <c r="E628" i="1"/>
  <c r="Q628" i="1" s="1"/>
  <c r="E629" i="1"/>
  <c r="Q629" i="1" s="1"/>
  <c r="E630" i="1"/>
  <c r="Q630" i="1" s="1"/>
  <c r="E631" i="1"/>
  <c r="Q631" i="1" s="1"/>
  <c r="E632" i="1"/>
  <c r="Q632" i="1" s="1"/>
  <c r="E633" i="1"/>
  <c r="Q633" i="1" s="1"/>
  <c r="E634" i="1"/>
  <c r="Q634" i="1" s="1"/>
  <c r="E635" i="1"/>
  <c r="Q635" i="1" s="1"/>
  <c r="E636" i="1"/>
  <c r="Q636" i="1" s="1"/>
  <c r="E637" i="1"/>
  <c r="Q637" i="1" s="1"/>
  <c r="E638" i="1"/>
  <c r="Q638" i="1" s="1"/>
  <c r="E639" i="1"/>
  <c r="Q639" i="1" s="1"/>
  <c r="E640" i="1"/>
  <c r="Q640" i="1" s="1"/>
  <c r="E641" i="1"/>
  <c r="Q641" i="1" s="1"/>
  <c r="E642" i="1"/>
  <c r="Q642" i="1" s="1"/>
  <c r="E643" i="1"/>
  <c r="Q643" i="1" s="1"/>
  <c r="E644" i="1"/>
  <c r="Q644" i="1" s="1"/>
  <c r="E645" i="1"/>
  <c r="Q645" i="1" s="1"/>
  <c r="E646" i="1"/>
  <c r="Q646" i="1" s="1"/>
  <c r="E580" i="1"/>
  <c r="Q580" i="1" s="1"/>
  <c r="E581" i="1"/>
  <c r="Q581" i="1" s="1"/>
  <c r="E582" i="1"/>
  <c r="Q582" i="1" s="1"/>
  <c r="E583" i="1"/>
  <c r="Q583" i="1" s="1"/>
  <c r="E584" i="1"/>
  <c r="Q584" i="1" s="1"/>
  <c r="E585" i="1"/>
  <c r="Q585" i="1" s="1"/>
  <c r="E586" i="1"/>
  <c r="Q586" i="1" s="1"/>
  <c r="E587" i="1"/>
  <c r="Q587" i="1" s="1"/>
  <c r="E588" i="1"/>
  <c r="Q588" i="1" s="1"/>
  <c r="E589" i="1"/>
  <c r="Q589" i="1" s="1"/>
  <c r="E590" i="1"/>
  <c r="Q590" i="1" s="1"/>
  <c r="E591" i="1"/>
  <c r="Q591" i="1" s="1"/>
  <c r="E592" i="1"/>
  <c r="Q592" i="1" s="1"/>
  <c r="E593" i="1"/>
  <c r="Q593" i="1" s="1"/>
  <c r="E594" i="1"/>
  <c r="Q594" i="1" s="1"/>
  <c r="E595" i="1"/>
  <c r="Q595" i="1" s="1"/>
  <c r="E596" i="1"/>
  <c r="Q596" i="1" s="1"/>
  <c r="E597" i="1"/>
  <c r="Q597" i="1" s="1"/>
  <c r="E598" i="1"/>
  <c r="Q598" i="1" s="1"/>
  <c r="E599" i="1"/>
  <c r="Q599" i="1" s="1"/>
  <c r="E600" i="1"/>
  <c r="Q600" i="1" s="1"/>
  <c r="E601" i="1"/>
  <c r="Q601" i="1" s="1"/>
  <c r="E602" i="1"/>
  <c r="Q602" i="1" s="1"/>
  <c r="E603" i="1"/>
  <c r="Q603" i="1" s="1"/>
  <c r="E604" i="1"/>
  <c r="Q604" i="1" s="1"/>
  <c r="E605" i="1"/>
  <c r="Q605" i="1" s="1"/>
  <c r="E606" i="1"/>
  <c r="Q606" i="1" s="1"/>
  <c r="E607" i="1"/>
  <c r="Q607" i="1" s="1"/>
  <c r="E608" i="1"/>
  <c r="Q608" i="1" s="1"/>
  <c r="E609" i="1"/>
  <c r="Q609" i="1" s="1"/>
  <c r="E610" i="1"/>
  <c r="Q610" i="1" s="1"/>
  <c r="E611" i="1"/>
  <c r="Q611" i="1" s="1"/>
  <c r="E612" i="1"/>
  <c r="Q612" i="1" s="1"/>
  <c r="E613" i="1"/>
  <c r="Q613" i="1" s="1"/>
  <c r="E614" i="1"/>
  <c r="Q614" i="1" s="1"/>
  <c r="E615" i="1"/>
  <c r="Q615" i="1" s="1"/>
  <c r="E616" i="1"/>
  <c r="Q616" i="1" s="1"/>
  <c r="E617" i="1"/>
  <c r="Q617" i="1" s="1"/>
  <c r="E351" i="1"/>
  <c r="Q351" i="1" s="1"/>
  <c r="E352" i="1"/>
  <c r="Q352" i="1" s="1"/>
  <c r="E353" i="1"/>
  <c r="Q353" i="1" s="1"/>
  <c r="E354" i="1"/>
  <c r="Q354" i="1" s="1"/>
  <c r="E355" i="1"/>
  <c r="Q355" i="1" s="1"/>
  <c r="E356" i="1"/>
  <c r="Q356" i="1" s="1"/>
  <c r="E357" i="1"/>
  <c r="Q357" i="1" s="1"/>
  <c r="E358" i="1"/>
  <c r="Q358" i="1" s="1"/>
  <c r="E359" i="1"/>
  <c r="Q359" i="1" s="1"/>
  <c r="E360" i="1"/>
  <c r="Q360" i="1" s="1"/>
  <c r="E361" i="1"/>
  <c r="Q361" i="1" s="1"/>
  <c r="E362" i="1"/>
  <c r="Q362" i="1" s="1"/>
  <c r="E363" i="1"/>
  <c r="Q363" i="1" s="1"/>
  <c r="E364" i="1"/>
  <c r="Q364" i="1" s="1"/>
  <c r="E365" i="1"/>
  <c r="Q365" i="1" s="1"/>
  <c r="T572" i="1"/>
  <c r="U572" i="1" s="1"/>
  <c r="V572" i="1" s="1"/>
  <c r="T573" i="1"/>
  <c r="U573" i="1" s="1"/>
  <c r="V573" i="1" s="1"/>
  <c r="T574" i="1"/>
  <c r="U574" i="1" s="1"/>
  <c r="V574" i="1" s="1"/>
  <c r="T575" i="1"/>
  <c r="U575" i="1" s="1"/>
  <c r="V575" i="1" s="1"/>
  <c r="T576" i="1"/>
  <c r="U576" i="1" s="1"/>
  <c r="V576" i="1" s="1"/>
  <c r="T577" i="1"/>
  <c r="U577" i="1" s="1"/>
  <c r="V577" i="1" s="1"/>
  <c r="T578" i="1"/>
  <c r="U578" i="1" s="1"/>
  <c r="V578" i="1" s="1"/>
  <c r="T579" i="1"/>
  <c r="U579" i="1" s="1"/>
  <c r="V579" i="1" s="1"/>
  <c r="T618" i="1"/>
  <c r="U618" i="1" s="1"/>
  <c r="V618" i="1" s="1"/>
  <c r="T619" i="1"/>
  <c r="U619" i="1" s="1"/>
  <c r="V619" i="1" s="1"/>
  <c r="T620" i="1"/>
  <c r="U620" i="1" s="1"/>
  <c r="V620" i="1" s="1"/>
  <c r="T621" i="1"/>
  <c r="U621" i="1" s="1"/>
  <c r="V621" i="1" s="1"/>
  <c r="T622" i="1"/>
  <c r="U622" i="1" s="1"/>
  <c r="V622" i="1" s="1"/>
  <c r="T623" i="1"/>
  <c r="U623" i="1" s="1"/>
  <c r="V623" i="1" s="1"/>
  <c r="T624" i="1"/>
  <c r="U624" i="1" s="1"/>
  <c r="V624" i="1" s="1"/>
  <c r="T625" i="1"/>
  <c r="U625" i="1" s="1"/>
  <c r="V625" i="1" s="1"/>
  <c r="T626" i="1"/>
  <c r="U626" i="1" s="1"/>
  <c r="V626" i="1" s="1"/>
  <c r="T627" i="1"/>
  <c r="U627" i="1" s="1"/>
  <c r="V627" i="1" s="1"/>
  <c r="T628" i="1"/>
  <c r="U628" i="1" s="1"/>
  <c r="V628" i="1" s="1"/>
  <c r="T629" i="1"/>
  <c r="U629" i="1" s="1"/>
  <c r="V629" i="1" s="1"/>
  <c r="T630" i="1"/>
  <c r="U630" i="1" s="1"/>
  <c r="V630" i="1" s="1"/>
  <c r="T631" i="1"/>
  <c r="U631" i="1" s="1"/>
  <c r="V631" i="1" s="1"/>
  <c r="T632" i="1"/>
  <c r="U632" i="1" s="1"/>
  <c r="V632" i="1" s="1"/>
  <c r="T633" i="1"/>
  <c r="U633" i="1" s="1"/>
  <c r="V633" i="1" s="1"/>
  <c r="T634" i="1"/>
  <c r="U634" i="1" s="1"/>
  <c r="V634" i="1" s="1"/>
  <c r="T635" i="1"/>
  <c r="U635" i="1" s="1"/>
  <c r="V635" i="1" s="1"/>
  <c r="T636" i="1"/>
  <c r="U636" i="1" s="1"/>
  <c r="V636" i="1" s="1"/>
  <c r="T637" i="1"/>
  <c r="U637" i="1" s="1"/>
  <c r="V637" i="1" s="1"/>
  <c r="T638" i="1"/>
  <c r="U638" i="1" s="1"/>
  <c r="V638" i="1" s="1"/>
  <c r="T639" i="1"/>
  <c r="U639" i="1" s="1"/>
  <c r="V639" i="1" s="1"/>
  <c r="T640" i="1"/>
  <c r="U640" i="1" s="1"/>
  <c r="V640" i="1" s="1"/>
  <c r="T641" i="1"/>
  <c r="U641" i="1" s="1"/>
  <c r="V641" i="1" s="1"/>
  <c r="T642" i="1"/>
  <c r="U642" i="1" s="1"/>
  <c r="V642" i="1" s="1"/>
  <c r="T643" i="1"/>
  <c r="U643" i="1" s="1"/>
  <c r="V643" i="1" s="1"/>
  <c r="T644" i="1"/>
  <c r="U644" i="1" s="1"/>
  <c r="V644" i="1" s="1"/>
  <c r="T645" i="1"/>
  <c r="U645" i="1" s="1"/>
  <c r="V645" i="1" s="1"/>
  <c r="T646" i="1"/>
  <c r="U646" i="1" s="1"/>
  <c r="V646" i="1" s="1"/>
  <c r="T580" i="1"/>
  <c r="U580" i="1" s="1"/>
  <c r="V580" i="1" s="1"/>
  <c r="T581" i="1"/>
  <c r="U581" i="1" s="1"/>
  <c r="V581" i="1" s="1"/>
  <c r="T582" i="1"/>
  <c r="U582" i="1" s="1"/>
  <c r="V582" i="1" s="1"/>
  <c r="T583" i="1"/>
  <c r="U583" i="1" s="1"/>
  <c r="V583" i="1" s="1"/>
  <c r="T584" i="1"/>
  <c r="U584" i="1" s="1"/>
  <c r="V584" i="1" s="1"/>
  <c r="T585" i="1"/>
  <c r="U585" i="1" s="1"/>
  <c r="V585" i="1" s="1"/>
  <c r="T586" i="1"/>
  <c r="U586" i="1" s="1"/>
  <c r="V586" i="1" s="1"/>
  <c r="T587" i="1"/>
  <c r="U587" i="1" s="1"/>
  <c r="V587" i="1" s="1"/>
  <c r="T588" i="1"/>
  <c r="U588" i="1" s="1"/>
  <c r="V588" i="1" s="1"/>
  <c r="T589" i="1"/>
  <c r="U589" i="1" s="1"/>
  <c r="V589" i="1" s="1"/>
  <c r="T590" i="1"/>
  <c r="U590" i="1" s="1"/>
  <c r="V590" i="1" s="1"/>
  <c r="T591" i="1"/>
  <c r="U591" i="1" s="1"/>
  <c r="V591" i="1" s="1"/>
  <c r="T592" i="1"/>
  <c r="U592" i="1" s="1"/>
  <c r="V592" i="1" s="1"/>
  <c r="T593" i="1"/>
  <c r="U593" i="1" s="1"/>
  <c r="V593" i="1" s="1"/>
  <c r="T594" i="1"/>
  <c r="U594" i="1" s="1"/>
  <c r="V594" i="1" s="1"/>
  <c r="T595" i="1"/>
  <c r="U595" i="1" s="1"/>
  <c r="V595" i="1" s="1"/>
  <c r="T596" i="1"/>
  <c r="U596" i="1" s="1"/>
  <c r="V596" i="1" s="1"/>
  <c r="T597" i="1"/>
  <c r="U597" i="1" s="1"/>
  <c r="V597" i="1" s="1"/>
  <c r="T598" i="1"/>
  <c r="U598" i="1" s="1"/>
  <c r="V598" i="1" s="1"/>
  <c r="T599" i="1"/>
  <c r="U599" i="1" s="1"/>
  <c r="V599" i="1" s="1"/>
  <c r="T600" i="1"/>
  <c r="U600" i="1" s="1"/>
  <c r="V600" i="1" s="1"/>
  <c r="T601" i="1"/>
  <c r="U601" i="1" s="1"/>
  <c r="V601" i="1" s="1"/>
  <c r="T602" i="1"/>
  <c r="U602" i="1" s="1"/>
  <c r="V602" i="1" s="1"/>
  <c r="T603" i="1"/>
  <c r="U603" i="1" s="1"/>
  <c r="V603" i="1" s="1"/>
  <c r="T604" i="1"/>
  <c r="U604" i="1" s="1"/>
  <c r="V604" i="1" s="1"/>
  <c r="T605" i="1"/>
  <c r="U605" i="1" s="1"/>
  <c r="V605" i="1" s="1"/>
  <c r="T606" i="1"/>
  <c r="U606" i="1" s="1"/>
  <c r="V606" i="1" s="1"/>
  <c r="T607" i="1"/>
  <c r="U607" i="1" s="1"/>
  <c r="V607" i="1" s="1"/>
  <c r="T608" i="1"/>
  <c r="U608" i="1" s="1"/>
  <c r="V608" i="1" s="1"/>
  <c r="T609" i="1"/>
  <c r="U609" i="1" s="1"/>
  <c r="V609" i="1" s="1"/>
  <c r="T610" i="1"/>
  <c r="U610" i="1" s="1"/>
  <c r="V610" i="1" s="1"/>
  <c r="T611" i="1"/>
  <c r="U611" i="1" s="1"/>
  <c r="V611" i="1" s="1"/>
  <c r="T612" i="1"/>
  <c r="U612" i="1" s="1"/>
  <c r="V612" i="1" s="1"/>
  <c r="T613" i="1"/>
  <c r="U613" i="1" s="1"/>
  <c r="V613" i="1" s="1"/>
  <c r="T614" i="1"/>
  <c r="U614" i="1" s="1"/>
  <c r="V614" i="1" s="1"/>
  <c r="T615" i="1"/>
  <c r="U615" i="1" s="1"/>
  <c r="V615" i="1" s="1"/>
  <c r="T616" i="1"/>
  <c r="U616" i="1" s="1"/>
  <c r="V616" i="1" s="1"/>
  <c r="T617" i="1"/>
  <c r="U617" i="1" s="1"/>
  <c r="V617" i="1" s="1"/>
  <c r="T351" i="1"/>
  <c r="U351" i="1" s="1"/>
  <c r="V351" i="1" s="1"/>
  <c r="T352" i="1"/>
  <c r="U352" i="1" s="1"/>
  <c r="V352" i="1" s="1"/>
  <c r="T353" i="1"/>
  <c r="U353" i="1" s="1"/>
  <c r="V353" i="1" s="1"/>
  <c r="T354" i="1"/>
  <c r="U354" i="1" s="1"/>
  <c r="V354" i="1" s="1"/>
  <c r="T355" i="1"/>
  <c r="U355" i="1" s="1"/>
  <c r="V355" i="1" s="1"/>
  <c r="T356" i="1"/>
  <c r="U356" i="1" s="1"/>
  <c r="V356" i="1" s="1"/>
  <c r="T357" i="1"/>
  <c r="U357" i="1" s="1"/>
  <c r="V357" i="1" s="1"/>
  <c r="T358" i="1"/>
  <c r="U358" i="1" s="1"/>
  <c r="V358" i="1" s="1"/>
  <c r="T359" i="1"/>
  <c r="U359" i="1" s="1"/>
  <c r="V359" i="1" s="1"/>
  <c r="T360" i="1"/>
  <c r="U360" i="1" s="1"/>
  <c r="V360" i="1" s="1"/>
  <c r="T361" i="1"/>
  <c r="U361" i="1" s="1"/>
  <c r="V361" i="1" s="1"/>
  <c r="T362" i="1"/>
  <c r="U362" i="1" s="1"/>
  <c r="V362" i="1" s="1"/>
  <c r="T363" i="1"/>
  <c r="U363" i="1" s="1"/>
  <c r="V363" i="1" s="1"/>
  <c r="T364" i="1"/>
  <c r="U364" i="1" s="1"/>
  <c r="V364" i="1" s="1"/>
  <c r="T365" i="1"/>
  <c r="U365" i="1" s="1"/>
  <c r="V365" i="1" s="1"/>
  <c r="T366" i="1"/>
  <c r="U366" i="1" s="1"/>
  <c r="V366" i="1" s="1"/>
  <c r="T367" i="1"/>
  <c r="U367" i="1" s="1"/>
  <c r="V367" i="1" s="1"/>
  <c r="T368" i="1"/>
  <c r="U368" i="1" s="1"/>
  <c r="V368" i="1" s="1"/>
  <c r="T369" i="1"/>
  <c r="U369" i="1" s="1"/>
  <c r="V369" i="1" s="1"/>
  <c r="T370" i="1"/>
  <c r="U370" i="1" s="1"/>
  <c r="V370" i="1" s="1"/>
  <c r="T371" i="1"/>
  <c r="U371" i="1" s="1"/>
  <c r="V371" i="1" s="1"/>
  <c r="T372" i="1"/>
  <c r="U372" i="1" s="1"/>
  <c r="V372" i="1" s="1"/>
  <c r="T373" i="1"/>
  <c r="U373" i="1" s="1"/>
  <c r="V373" i="1" s="1"/>
  <c r="T374" i="1"/>
  <c r="U374" i="1" s="1"/>
  <c r="V374" i="1" s="1"/>
  <c r="T375" i="1"/>
  <c r="U375" i="1" s="1"/>
  <c r="V375" i="1" s="1"/>
  <c r="T376" i="1"/>
  <c r="U376" i="1" s="1"/>
  <c r="V376" i="1" s="1"/>
  <c r="T377" i="1"/>
  <c r="U377" i="1" s="1"/>
  <c r="V377" i="1" s="1"/>
  <c r="T378" i="1"/>
  <c r="U378" i="1" s="1"/>
  <c r="V378" i="1" s="1"/>
  <c r="T379" i="1"/>
  <c r="U379" i="1" s="1"/>
  <c r="V379" i="1" s="1"/>
  <c r="T380" i="1"/>
  <c r="U380" i="1" s="1"/>
  <c r="V380" i="1" s="1"/>
  <c r="T381" i="1"/>
  <c r="U381" i="1" s="1"/>
  <c r="V381" i="1" s="1"/>
  <c r="T382" i="1"/>
  <c r="U382" i="1" s="1"/>
  <c r="V382" i="1" s="1"/>
  <c r="T383" i="1"/>
  <c r="U383" i="1" s="1"/>
  <c r="V383" i="1" s="1"/>
  <c r="T384" i="1"/>
  <c r="U384" i="1" s="1"/>
  <c r="V384" i="1" s="1"/>
  <c r="T385" i="1"/>
  <c r="U385" i="1" s="1"/>
  <c r="V385" i="1" s="1"/>
  <c r="T386" i="1"/>
  <c r="U386" i="1" s="1"/>
  <c r="V386" i="1" s="1"/>
  <c r="T387" i="1"/>
  <c r="U387" i="1" s="1"/>
  <c r="V387" i="1" s="1"/>
  <c r="T388" i="1"/>
  <c r="U388" i="1" s="1"/>
  <c r="V388" i="1" s="1"/>
  <c r="T389" i="1"/>
  <c r="U389" i="1" s="1"/>
  <c r="V389" i="1" s="1"/>
  <c r="T390" i="1"/>
  <c r="U390" i="1" s="1"/>
  <c r="V390" i="1" s="1"/>
  <c r="T391" i="1"/>
  <c r="U391" i="1" s="1"/>
  <c r="V391" i="1" s="1"/>
  <c r="T392" i="1"/>
  <c r="U392" i="1" s="1"/>
  <c r="V392" i="1" s="1"/>
  <c r="T393" i="1"/>
  <c r="U393" i="1" s="1"/>
  <c r="V393" i="1" s="1"/>
  <c r="T394" i="1"/>
  <c r="U394" i="1" s="1"/>
  <c r="V394" i="1" s="1"/>
  <c r="T395" i="1"/>
  <c r="U395" i="1" s="1"/>
  <c r="V395" i="1" s="1"/>
  <c r="T396" i="1"/>
  <c r="U396" i="1" s="1"/>
  <c r="V396" i="1" s="1"/>
  <c r="T397" i="1"/>
  <c r="U397" i="1" s="1"/>
  <c r="V397" i="1" s="1"/>
  <c r="T398" i="1"/>
  <c r="U398" i="1" s="1"/>
  <c r="V398" i="1" s="1"/>
  <c r="T399" i="1"/>
  <c r="U399" i="1" s="1"/>
  <c r="V399" i="1" s="1"/>
  <c r="T400" i="1"/>
  <c r="U400" i="1" s="1"/>
  <c r="V400" i="1" s="1"/>
  <c r="E554" i="1"/>
  <c r="Q554" i="1" s="1"/>
  <c r="T453" i="1"/>
  <c r="U453" i="1" s="1"/>
  <c r="V453" i="1" s="1"/>
  <c r="T545" i="1"/>
  <c r="U545" i="1" s="1"/>
  <c r="V545" i="1" s="1"/>
  <c r="T546" i="1"/>
  <c r="U546" i="1" s="1"/>
  <c r="V546" i="1" s="1"/>
  <c r="T547" i="1"/>
  <c r="U547" i="1" s="1"/>
  <c r="V547" i="1" s="1"/>
  <c r="T548" i="1"/>
  <c r="U548" i="1" s="1"/>
  <c r="V548" i="1" s="1"/>
  <c r="T549" i="1"/>
  <c r="U549" i="1" s="1"/>
  <c r="V549" i="1" s="1"/>
  <c r="T550" i="1"/>
  <c r="U550" i="1" s="1"/>
  <c r="V550" i="1" s="1"/>
  <c r="T551" i="1"/>
  <c r="U551" i="1" s="1"/>
  <c r="V551" i="1" s="1"/>
  <c r="T552" i="1"/>
  <c r="U552" i="1" s="1"/>
  <c r="V552" i="1" s="1"/>
  <c r="T553" i="1"/>
  <c r="U553" i="1" s="1"/>
  <c r="V553" i="1" s="1"/>
  <c r="T554" i="1"/>
  <c r="U554" i="1" s="1"/>
  <c r="T555" i="1"/>
  <c r="U555" i="1" s="1"/>
  <c r="V555" i="1" s="1"/>
  <c r="T556" i="1"/>
  <c r="U556" i="1" s="1"/>
  <c r="V556" i="1" s="1"/>
  <c r="T557" i="1"/>
  <c r="U557" i="1" s="1"/>
  <c r="V557" i="1" s="1"/>
  <c r="T558" i="1"/>
  <c r="U558" i="1" s="1"/>
  <c r="V558" i="1" s="1"/>
  <c r="T559" i="1"/>
  <c r="U559" i="1" s="1"/>
  <c r="V559" i="1" s="1"/>
  <c r="T560" i="1"/>
  <c r="U560" i="1" s="1"/>
  <c r="V560" i="1" s="1"/>
  <c r="T561" i="1"/>
  <c r="U561" i="1" s="1"/>
  <c r="V561" i="1" s="1"/>
  <c r="T562" i="1"/>
  <c r="U562" i="1" s="1"/>
  <c r="V562" i="1" s="1"/>
  <c r="T563" i="1"/>
  <c r="U563" i="1" s="1"/>
  <c r="V563" i="1" s="1"/>
  <c r="T564" i="1"/>
  <c r="U564" i="1" s="1"/>
  <c r="V564" i="1" s="1"/>
  <c r="T565" i="1"/>
  <c r="U565" i="1" s="1"/>
  <c r="V565" i="1" s="1"/>
  <c r="T566" i="1"/>
  <c r="U566" i="1" s="1"/>
  <c r="V566" i="1" s="1"/>
  <c r="T567" i="1"/>
  <c r="U567" i="1" s="1"/>
  <c r="V567" i="1" s="1"/>
  <c r="T568" i="1"/>
  <c r="U568" i="1" s="1"/>
  <c r="V568" i="1" s="1"/>
  <c r="T569" i="1"/>
  <c r="U569" i="1" s="1"/>
  <c r="V569" i="1" s="1"/>
  <c r="T570" i="1"/>
  <c r="U570" i="1" s="1"/>
  <c r="V570" i="1" s="1"/>
  <c r="T571" i="1"/>
  <c r="U571" i="1" s="1"/>
  <c r="V571" i="1" s="1"/>
  <c r="T452" i="1"/>
  <c r="U452" i="1" s="1"/>
  <c r="V452" i="1" s="1"/>
  <c r="T451" i="1"/>
  <c r="U451" i="1" s="1"/>
  <c r="V451" i="1" s="1"/>
  <c r="T450" i="1"/>
  <c r="T449" i="1"/>
  <c r="U449" i="1" s="1"/>
  <c r="V449" i="1" s="1"/>
  <c r="T448" i="1"/>
  <c r="T447" i="1"/>
  <c r="U447" i="1" s="1"/>
  <c r="V447" i="1" s="1"/>
  <c r="T446" i="1"/>
  <c r="T445" i="1"/>
  <c r="U445" i="1" s="1"/>
  <c r="V445" i="1" s="1"/>
  <c r="T444" i="1"/>
  <c r="U444" i="1" s="1"/>
  <c r="V444" i="1" s="1"/>
  <c r="T443" i="1"/>
  <c r="U443" i="1" s="1"/>
  <c r="V443" i="1" s="1"/>
  <c r="T442" i="1"/>
  <c r="T441" i="1"/>
  <c r="U441" i="1" s="1"/>
  <c r="V441" i="1" s="1"/>
  <c r="T440" i="1"/>
  <c r="U440" i="1" s="1"/>
  <c r="V440" i="1" s="1"/>
  <c r="T439" i="1"/>
  <c r="U439" i="1" s="1"/>
  <c r="V439" i="1" s="1"/>
  <c r="T438" i="1"/>
  <c r="T437" i="1"/>
  <c r="U438" i="1" s="1"/>
  <c r="V438" i="1" s="1"/>
  <c r="T436" i="1"/>
  <c r="U436" i="1" s="1"/>
  <c r="V436" i="1" s="1"/>
  <c r="T435" i="1"/>
  <c r="U435" i="1" s="1"/>
  <c r="V435" i="1" s="1"/>
  <c r="T434" i="1"/>
  <c r="T433" i="1"/>
  <c r="U433" i="1" s="1"/>
  <c r="V433" i="1" s="1"/>
  <c r="T432" i="1"/>
  <c r="U432" i="1" s="1"/>
  <c r="V432" i="1" s="1"/>
  <c r="T431" i="1"/>
  <c r="U431" i="1" s="1"/>
  <c r="V431" i="1" s="1"/>
  <c r="T430" i="1"/>
  <c r="T429" i="1"/>
  <c r="U429" i="1" s="1"/>
  <c r="V429" i="1" s="1"/>
  <c r="T428" i="1"/>
  <c r="U428" i="1" s="1"/>
  <c r="V428" i="1" s="1"/>
  <c r="T427" i="1"/>
  <c r="U427" i="1" s="1"/>
  <c r="V427" i="1" s="1"/>
  <c r="T426" i="1"/>
  <c r="T425" i="1"/>
  <c r="U425" i="1" s="1"/>
  <c r="V425" i="1" s="1"/>
  <c r="T424" i="1"/>
  <c r="U424" i="1" s="1"/>
  <c r="V424" i="1" s="1"/>
  <c r="T423" i="1"/>
  <c r="U423" i="1" s="1"/>
  <c r="V423" i="1" s="1"/>
  <c r="T422" i="1"/>
  <c r="T187" i="1"/>
  <c r="U187" i="1" s="1"/>
  <c r="V187" i="1" s="1"/>
  <c r="T186" i="1"/>
  <c r="U186" i="1" s="1"/>
  <c r="V186" i="1" s="1"/>
  <c r="T185" i="1"/>
  <c r="U185" i="1" s="1"/>
  <c r="V185" i="1" s="1"/>
  <c r="T184" i="1"/>
  <c r="T183" i="1"/>
  <c r="T182" i="1"/>
  <c r="U182" i="1" s="1"/>
  <c r="V182" i="1" s="1"/>
  <c r="T181" i="1"/>
  <c r="T180" i="1"/>
  <c r="U181" i="1" s="1"/>
  <c r="V181" i="1" s="1"/>
  <c r="T179" i="1"/>
  <c r="U179" i="1" s="1"/>
  <c r="V179" i="1" s="1"/>
  <c r="T178" i="1"/>
  <c r="U178" i="1" s="1"/>
  <c r="V178" i="1" s="1"/>
  <c r="T177" i="1"/>
  <c r="T176" i="1"/>
  <c r="U176" i="1" s="1"/>
  <c r="V176" i="1" s="1"/>
  <c r="T175" i="1"/>
  <c r="U175" i="1" s="1"/>
  <c r="V175" i="1" s="1"/>
  <c r="T174" i="1"/>
  <c r="U174" i="1" s="1"/>
  <c r="V174" i="1" s="1"/>
  <c r="T173" i="1"/>
  <c r="T172" i="1"/>
  <c r="U172" i="1" s="1"/>
  <c r="V172" i="1" s="1"/>
  <c r="T171" i="1"/>
  <c r="U171" i="1" s="1"/>
  <c r="V171" i="1" s="1"/>
  <c r="T170" i="1"/>
  <c r="U170" i="1" s="1"/>
  <c r="V170" i="1" s="1"/>
  <c r="T169" i="1"/>
  <c r="T168" i="1"/>
  <c r="T167" i="1"/>
  <c r="U167" i="1" s="1"/>
  <c r="V167" i="1" s="1"/>
  <c r="T166" i="1"/>
  <c r="U166" i="1" s="1"/>
  <c r="V166" i="1" s="1"/>
  <c r="T165" i="1"/>
  <c r="T164" i="1"/>
  <c r="T163" i="1"/>
  <c r="U163" i="1" s="1"/>
  <c r="V163" i="1" s="1"/>
  <c r="T162" i="1"/>
  <c r="U162" i="1" s="1"/>
  <c r="V162" i="1" s="1"/>
  <c r="T161" i="1"/>
  <c r="T160" i="1"/>
  <c r="T159" i="1"/>
  <c r="U159" i="1" s="1"/>
  <c r="V159" i="1" s="1"/>
  <c r="T158" i="1"/>
  <c r="U158" i="1" s="1"/>
  <c r="V158" i="1" s="1"/>
  <c r="T157" i="1"/>
  <c r="T156" i="1"/>
  <c r="U157" i="1" s="1"/>
  <c r="V157" i="1" s="1"/>
  <c r="T155" i="1"/>
  <c r="U155" i="1" s="1"/>
  <c r="V155" i="1" s="1"/>
  <c r="T154" i="1"/>
  <c r="U154" i="1" s="1"/>
  <c r="V154" i="1" s="1"/>
  <c r="T153" i="1"/>
  <c r="T152" i="1"/>
  <c r="U152" i="1" s="1"/>
  <c r="V152" i="1" s="1"/>
  <c r="T151" i="1"/>
  <c r="U151" i="1" s="1"/>
  <c r="V151" i="1" s="1"/>
  <c r="T150" i="1"/>
  <c r="U150" i="1" s="1"/>
  <c r="V150" i="1" s="1"/>
  <c r="T149" i="1"/>
  <c r="T148" i="1"/>
  <c r="U148" i="1" s="1"/>
  <c r="V148" i="1" s="1"/>
  <c r="T147" i="1"/>
  <c r="U147" i="1" s="1"/>
  <c r="V147" i="1" s="1"/>
  <c r="T146" i="1"/>
  <c r="U146" i="1" s="1"/>
  <c r="V146" i="1" s="1"/>
  <c r="T145" i="1"/>
  <c r="T144" i="1"/>
  <c r="T143" i="1"/>
  <c r="U143" i="1" s="1"/>
  <c r="V143" i="1" s="1"/>
  <c r="T142" i="1"/>
  <c r="U142" i="1" s="1"/>
  <c r="V142" i="1" s="1"/>
  <c r="T141" i="1"/>
  <c r="T140" i="1"/>
  <c r="U141" i="1" s="1"/>
  <c r="V141" i="1" s="1"/>
  <c r="T139" i="1"/>
  <c r="U139" i="1" s="1"/>
  <c r="V139" i="1" s="1"/>
  <c r="T138" i="1"/>
  <c r="U138" i="1" s="1"/>
  <c r="V138" i="1" s="1"/>
  <c r="T137" i="1"/>
  <c r="T136" i="1"/>
  <c r="T135" i="1"/>
  <c r="U135" i="1" s="1"/>
  <c r="V135" i="1" s="1"/>
  <c r="T134" i="1"/>
  <c r="U134" i="1" s="1"/>
  <c r="V134" i="1" s="1"/>
  <c r="T133" i="1"/>
  <c r="T132" i="1"/>
  <c r="U132" i="1" s="1"/>
  <c r="V132" i="1" s="1"/>
  <c r="T131" i="1"/>
  <c r="U131" i="1" s="1"/>
  <c r="V131" i="1" s="1"/>
  <c r="T130" i="1"/>
  <c r="U130" i="1" s="1"/>
  <c r="V130" i="1" s="1"/>
  <c r="T129" i="1"/>
  <c r="T128" i="1"/>
  <c r="T127" i="1"/>
  <c r="U127" i="1" s="1"/>
  <c r="V127" i="1" s="1"/>
  <c r="T126" i="1"/>
  <c r="U126" i="1" s="1"/>
  <c r="V126" i="1" s="1"/>
  <c r="T219" i="1"/>
  <c r="T218" i="1"/>
  <c r="U218" i="1" s="1"/>
  <c r="V218" i="1" s="1"/>
  <c r="T217" i="1"/>
  <c r="U217" i="1" s="1"/>
  <c r="V217" i="1" s="1"/>
  <c r="T216" i="1"/>
  <c r="T215" i="1"/>
  <c r="U215" i="1" s="1"/>
  <c r="V215" i="1" s="1"/>
  <c r="T214" i="1"/>
  <c r="U214" i="1" s="1"/>
  <c r="V214" i="1" s="1"/>
  <c r="T213" i="1"/>
  <c r="U213" i="1" s="1"/>
  <c r="V213" i="1" s="1"/>
  <c r="T212" i="1"/>
  <c r="T211" i="1"/>
  <c r="U211" i="1" s="1"/>
  <c r="V211" i="1" s="1"/>
  <c r="T210" i="1"/>
  <c r="U210" i="1" s="1"/>
  <c r="V210" i="1" s="1"/>
  <c r="T209" i="1"/>
  <c r="U209" i="1" s="1"/>
  <c r="V209" i="1" s="1"/>
  <c r="T208" i="1"/>
  <c r="T207" i="1"/>
  <c r="T206" i="1"/>
  <c r="U206" i="1" s="1"/>
  <c r="V206" i="1" s="1"/>
  <c r="T205" i="1"/>
  <c r="U205" i="1" s="1"/>
  <c r="V205" i="1" s="1"/>
  <c r="T204" i="1"/>
  <c r="T203" i="1"/>
  <c r="U204" i="1" s="1"/>
  <c r="V204" i="1" s="1"/>
  <c r="T202" i="1"/>
  <c r="U202" i="1" s="1"/>
  <c r="V202" i="1" s="1"/>
  <c r="T201" i="1"/>
  <c r="U201" i="1" s="1"/>
  <c r="V201" i="1" s="1"/>
  <c r="T200" i="1"/>
  <c r="T199" i="1"/>
  <c r="U199" i="1" s="1"/>
  <c r="V199" i="1" s="1"/>
  <c r="T198" i="1"/>
  <c r="U198" i="1" s="1"/>
  <c r="V198" i="1" s="1"/>
  <c r="T197" i="1"/>
  <c r="U197" i="1" s="1"/>
  <c r="V197" i="1" s="1"/>
  <c r="T196" i="1"/>
  <c r="T195" i="1"/>
  <c r="U195" i="1" s="1"/>
  <c r="V195" i="1" s="1"/>
  <c r="T194" i="1"/>
  <c r="U194" i="1" s="1"/>
  <c r="V194" i="1" s="1"/>
  <c r="T193" i="1"/>
  <c r="U193" i="1" s="1"/>
  <c r="V193" i="1" s="1"/>
  <c r="T192" i="1"/>
  <c r="T191" i="1"/>
  <c r="T190" i="1"/>
  <c r="U190" i="1" s="1"/>
  <c r="V190" i="1" s="1"/>
  <c r="T189" i="1"/>
  <c r="U189" i="1" s="1"/>
  <c r="V189" i="1" s="1"/>
  <c r="T188" i="1"/>
  <c r="T281" i="1"/>
  <c r="T280" i="1"/>
  <c r="U280" i="1" s="1"/>
  <c r="V280" i="1" s="1"/>
  <c r="T279" i="1"/>
  <c r="U279" i="1" s="1"/>
  <c r="V279" i="1" s="1"/>
  <c r="T278" i="1"/>
  <c r="T277" i="1"/>
  <c r="U277" i="1" s="1"/>
  <c r="V277" i="1" s="1"/>
  <c r="T276" i="1"/>
  <c r="U276" i="1" s="1"/>
  <c r="V276" i="1" s="1"/>
  <c r="T275" i="1"/>
  <c r="U275" i="1" s="1"/>
  <c r="V275" i="1" s="1"/>
  <c r="T274" i="1"/>
  <c r="T273" i="1"/>
  <c r="U273" i="1" s="1"/>
  <c r="V273" i="1" s="1"/>
  <c r="T272" i="1"/>
  <c r="U272" i="1" s="1"/>
  <c r="V272" i="1" s="1"/>
  <c r="T271" i="1"/>
  <c r="U271" i="1" s="1"/>
  <c r="V271" i="1" s="1"/>
  <c r="T270" i="1"/>
  <c r="T269" i="1"/>
  <c r="T268" i="1"/>
  <c r="U268" i="1" s="1"/>
  <c r="V268" i="1" s="1"/>
  <c r="T267" i="1"/>
  <c r="U267" i="1" s="1"/>
  <c r="V267" i="1" s="1"/>
  <c r="T266" i="1"/>
  <c r="T265" i="1"/>
  <c r="U266" i="1" s="1"/>
  <c r="V266" i="1" s="1"/>
  <c r="T264" i="1"/>
  <c r="U264" i="1" s="1"/>
  <c r="V264" i="1" s="1"/>
  <c r="T263" i="1"/>
  <c r="U263" i="1" s="1"/>
  <c r="V263" i="1" s="1"/>
  <c r="T262" i="1"/>
  <c r="U262" i="1" s="1"/>
  <c r="V262" i="1" s="1"/>
  <c r="T261" i="1"/>
  <c r="U261" i="1" s="1"/>
  <c r="V261" i="1" s="1"/>
  <c r="T260" i="1"/>
  <c r="U260" i="1" s="1"/>
  <c r="V260" i="1" s="1"/>
  <c r="T259" i="1"/>
  <c r="U259" i="1" s="1"/>
  <c r="V259" i="1" s="1"/>
  <c r="T258" i="1"/>
  <c r="U258" i="1" s="1"/>
  <c r="V258" i="1" s="1"/>
  <c r="T257" i="1"/>
  <c r="U257" i="1" s="1"/>
  <c r="V257" i="1" s="1"/>
  <c r="T256" i="1"/>
  <c r="U256" i="1" s="1"/>
  <c r="V256" i="1" s="1"/>
  <c r="T255" i="1"/>
  <c r="U255" i="1" s="1"/>
  <c r="V255" i="1" s="1"/>
  <c r="T254" i="1"/>
  <c r="U254" i="1" s="1"/>
  <c r="V254" i="1" s="1"/>
  <c r="T253" i="1"/>
  <c r="U253" i="1" s="1"/>
  <c r="V253" i="1" s="1"/>
  <c r="T252" i="1"/>
  <c r="U252" i="1" s="1"/>
  <c r="V252" i="1" s="1"/>
  <c r="T251" i="1"/>
  <c r="U251" i="1" s="1"/>
  <c r="V251" i="1" s="1"/>
  <c r="T250" i="1"/>
  <c r="U250" i="1" s="1"/>
  <c r="V250" i="1" s="1"/>
  <c r="T249" i="1"/>
  <c r="U249" i="1" s="1"/>
  <c r="V249" i="1" s="1"/>
  <c r="T248" i="1"/>
  <c r="U248" i="1" s="1"/>
  <c r="V248" i="1" s="1"/>
  <c r="T247" i="1"/>
  <c r="U247" i="1" s="1"/>
  <c r="V247" i="1" s="1"/>
  <c r="T246" i="1"/>
  <c r="U246" i="1" s="1"/>
  <c r="V246" i="1" s="1"/>
  <c r="T245" i="1"/>
  <c r="U245" i="1" s="1"/>
  <c r="V245" i="1" s="1"/>
  <c r="T244" i="1"/>
  <c r="U244" i="1" s="1"/>
  <c r="V244" i="1" s="1"/>
  <c r="T243" i="1"/>
  <c r="U243" i="1" s="1"/>
  <c r="V243" i="1" s="1"/>
  <c r="T242" i="1"/>
  <c r="U242" i="1" s="1"/>
  <c r="V242" i="1" s="1"/>
  <c r="T241" i="1"/>
  <c r="U241" i="1" s="1"/>
  <c r="V241" i="1" s="1"/>
  <c r="T240" i="1"/>
  <c r="U240" i="1" s="1"/>
  <c r="V240" i="1" s="1"/>
  <c r="T239" i="1"/>
  <c r="U239" i="1" s="1"/>
  <c r="V239" i="1" s="1"/>
  <c r="T238" i="1"/>
  <c r="U238" i="1" s="1"/>
  <c r="V238" i="1" s="1"/>
  <c r="T237" i="1"/>
  <c r="U237" i="1" s="1"/>
  <c r="V237" i="1" s="1"/>
  <c r="T236" i="1"/>
  <c r="U236" i="1" s="1"/>
  <c r="V236" i="1" s="1"/>
  <c r="T235" i="1"/>
  <c r="U235" i="1" s="1"/>
  <c r="V235" i="1" s="1"/>
  <c r="T234" i="1"/>
  <c r="U234" i="1" s="1"/>
  <c r="V234" i="1" s="1"/>
  <c r="T233" i="1"/>
  <c r="U233" i="1" s="1"/>
  <c r="V233" i="1" s="1"/>
  <c r="T232" i="1"/>
  <c r="U232" i="1" s="1"/>
  <c r="V232" i="1" s="1"/>
  <c r="T231" i="1"/>
  <c r="U231" i="1" s="1"/>
  <c r="V231" i="1" s="1"/>
  <c r="T230" i="1"/>
  <c r="U230" i="1" s="1"/>
  <c r="V230" i="1" s="1"/>
  <c r="T229" i="1"/>
  <c r="U229" i="1" s="1"/>
  <c r="V229" i="1" s="1"/>
  <c r="T228" i="1"/>
  <c r="U228" i="1" s="1"/>
  <c r="V228" i="1" s="1"/>
  <c r="T227" i="1"/>
  <c r="U227" i="1" s="1"/>
  <c r="V227" i="1" s="1"/>
  <c r="T226" i="1"/>
  <c r="U226" i="1" s="1"/>
  <c r="V226" i="1" s="1"/>
  <c r="T225" i="1"/>
  <c r="U225" i="1" s="1"/>
  <c r="V225" i="1" s="1"/>
  <c r="T224" i="1"/>
  <c r="U224" i="1" s="1"/>
  <c r="V224" i="1" s="1"/>
  <c r="T223" i="1"/>
  <c r="U223" i="1" s="1"/>
  <c r="V223" i="1" s="1"/>
  <c r="T222" i="1"/>
  <c r="U222" i="1" s="1"/>
  <c r="V222" i="1" s="1"/>
  <c r="T221" i="1"/>
  <c r="U221" i="1" s="1"/>
  <c r="V221" i="1" s="1"/>
  <c r="T220" i="1"/>
  <c r="U220" i="1" s="1"/>
  <c r="V220" i="1" s="1"/>
  <c r="T515" i="1"/>
  <c r="U515" i="1" s="1"/>
  <c r="V515" i="1" s="1"/>
  <c r="T514" i="1"/>
  <c r="U514" i="1" s="1"/>
  <c r="V514" i="1" s="1"/>
  <c r="T513" i="1"/>
  <c r="U513" i="1" s="1"/>
  <c r="V513" i="1" s="1"/>
  <c r="T512" i="1"/>
  <c r="U512" i="1" s="1"/>
  <c r="V512" i="1" s="1"/>
  <c r="T511" i="1"/>
  <c r="U511" i="1" s="1"/>
  <c r="V511" i="1" s="1"/>
  <c r="T510" i="1"/>
  <c r="U510" i="1" s="1"/>
  <c r="V510" i="1" s="1"/>
  <c r="T509" i="1"/>
  <c r="U509" i="1" s="1"/>
  <c r="V509" i="1" s="1"/>
  <c r="T508" i="1"/>
  <c r="U508" i="1" s="1"/>
  <c r="V508" i="1" s="1"/>
  <c r="T507" i="1"/>
  <c r="U507" i="1" s="1"/>
  <c r="V507" i="1" s="1"/>
  <c r="T506" i="1"/>
  <c r="U506" i="1" s="1"/>
  <c r="V506" i="1" s="1"/>
  <c r="T505" i="1"/>
  <c r="U505" i="1" s="1"/>
  <c r="V505" i="1" s="1"/>
  <c r="T504" i="1"/>
  <c r="U504" i="1" s="1"/>
  <c r="V504" i="1" s="1"/>
  <c r="T503" i="1"/>
  <c r="U503" i="1" s="1"/>
  <c r="V503" i="1" s="1"/>
  <c r="T502" i="1"/>
  <c r="U502" i="1" s="1"/>
  <c r="V502" i="1" s="1"/>
  <c r="T501" i="1"/>
  <c r="U501" i="1" s="1"/>
  <c r="V501" i="1" s="1"/>
  <c r="T500" i="1"/>
  <c r="U500" i="1" s="1"/>
  <c r="V500" i="1" s="1"/>
  <c r="T499" i="1"/>
  <c r="U499" i="1" s="1"/>
  <c r="V499" i="1" s="1"/>
  <c r="T498" i="1"/>
  <c r="U498" i="1" s="1"/>
  <c r="V498" i="1" s="1"/>
  <c r="T497" i="1"/>
  <c r="U497" i="1" s="1"/>
  <c r="V497" i="1" s="1"/>
  <c r="T496" i="1"/>
  <c r="U496" i="1" s="1"/>
  <c r="V496" i="1" s="1"/>
  <c r="T495" i="1"/>
  <c r="U495" i="1" s="1"/>
  <c r="V495" i="1" s="1"/>
  <c r="T494" i="1"/>
  <c r="U494" i="1" s="1"/>
  <c r="V494" i="1" s="1"/>
  <c r="T493" i="1"/>
  <c r="U493" i="1" s="1"/>
  <c r="V493" i="1" s="1"/>
  <c r="T492" i="1"/>
  <c r="U492" i="1" s="1"/>
  <c r="V492" i="1" s="1"/>
  <c r="T491" i="1"/>
  <c r="U491" i="1" s="1"/>
  <c r="V491" i="1" s="1"/>
  <c r="T490" i="1"/>
  <c r="U490" i="1" s="1"/>
  <c r="V490" i="1" s="1"/>
  <c r="T489" i="1"/>
  <c r="U489" i="1" s="1"/>
  <c r="V489" i="1" s="1"/>
  <c r="T488" i="1"/>
  <c r="U488" i="1" s="1"/>
  <c r="V488" i="1" s="1"/>
  <c r="T487" i="1"/>
  <c r="U487" i="1" s="1"/>
  <c r="V487" i="1" s="1"/>
  <c r="T125" i="1"/>
  <c r="U125" i="1" s="1"/>
  <c r="V125" i="1" s="1"/>
  <c r="T124" i="1"/>
  <c r="U124" i="1" s="1"/>
  <c r="V124" i="1" s="1"/>
  <c r="T123" i="1"/>
  <c r="U123" i="1" s="1"/>
  <c r="V123" i="1" s="1"/>
  <c r="T122" i="1"/>
  <c r="U122" i="1" s="1"/>
  <c r="V122" i="1" s="1"/>
  <c r="T121" i="1"/>
  <c r="U121" i="1" s="1"/>
  <c r="V121" i="1" s="1"/>
  <c r="T120" i="1"/>
  <c r="U120" i="1" s="1"/>
  <c r="V120" i="1" s="1"/>
  <c r="T119" i="1"/>
  <c r="U119" i="1" s="1"/>
  <c r="V119" i="1" s="1"/>
  <c r="T118" i="1"/>
  <c r="U118" i="1" s="1"/>
  <c r="V118" i="1" s="1"/>
  <c r="T117" i="1"/>
  <c r="U117" i="1" s="1"/>
  <c r="V117" i="1" s="1"/>
  <c r="T116" i="1"/>
  <c r="U116" i="1" s="1"/>
  <c r="V116" i="1" s="1"/>
  <c r="T115" i="1"/>
  <c r="U115" i="1" s="1"/>
  <c r="V115" i="1" s="1"/>
  <c r="T114" i="1"/>
  <c r="U114" i="1" s="1"/>
  <c r="V114" i="1" s="1"/>
  <c r="T113" i="1"/>
  <c r="U113" i="1" s="1"/>
  <c r="V113" i="1" s="1"/>
  <c r="T112" i="1"/>
  <c r="U112" i="1" s="1"/>
  <c r="V112" i="1" s="1"/>
  <c r="T111" i="1"/>
  <c r="U111" i="1" s="1"/>
  <c r="V111" i="1" s="1"/>
  <c r="T110" i="1"/>
  <c r="U110" i="1" s="1"/>
  <c r="V110" i="1" s="1"/>
  <c r="T109" i="1"/>
  <c r="U109" i="1" s="1"/>
  <c r="V109" i="1" s="1"/>
  <c r="T108" i="1"/>
  <c r="U108" i="1" s="1"/>
  <c r="V108" i="1" s="1"/>
  <c r="T107" i="1"/>
  <c r="U107" i="1" s="1"/>
  <c r="V107" i="1" s="1"/>
  <c r="T106" i="1"/>
  <c r="U106" i="1" s="1"/>
  <c r="V106" i="1" s="1"/>
  <c r="T105" i="1"/>
  <c r="U105" i="1" s="1"/>
  <c r="V105" i="1" s="1"/>
  <c r="T104" i="1"/>
  <c r="U104" i="1" s="1"/>
  <c r="V104" i="1" s="1"/>
  <c r="T103" i="1"/>
  <c r="U103" i="1" s="1"/>
  <c r="V103" i="1" s="1"/>
  <c r="T102" i="1"/>
  <c r="U102" i="1" s="1"/>
  <c r="V102" i="1" s="1"/>
  <c r="T101" i="1"/>
  <c r="U101" i="1" s="1"/>
  <c r="V101" i="1" s="1"/>
  <c r="T100" i="1"/>
  <c r="U100" i="1" s="1"/>
  <c r="V100" i="1" s="1"/>
  <c r="T99" i="1"/>
  <c r="U99" i="1" s="1"/>
  <c r="V99" i="1" s="1"/>
  <c r="T98" i="1"/>
  <c r="U98" i="1" s="1"/>
  <c r="V98" i="1" s="1"/>
  <c r="T97" i="1"/>
  <c r="U97" i="1" s="1"/>
  <c r="V97" i="1" s="1"/>
  <c r="T96" i="1"/>
  <c r="U96" i="1" s="1"/>
  <c r="V96" i="1" s="1"/>
  <c r="T95" i="1"/>
  <c r="U95" i="1" s="1"/>
  <c r="V95" i="1" s="1"/>
  <c r="T94" i="1"/>
  <c r="U94" i="1" s="1"/>
  <c r="V94" i="1" s="1"/>
  <c r="T93" i="1"/>
  <c r="U93" i="1" s="1"/>
  <c r="V93" i="1" s="1"/>
  <c r="T310" i="1"/>
  <c r="U310" i="1" s="1"/>
  <c r="V310" i="1" s="1"/>
  <c r="T309" i="1"/>
  <c r="U309" i="1" s="1"/>
  <c r="V309" i="1" s="1"/>
  <c r="T308" i="1"/>
  <c r="U308" i="1" s="1"/>
  <c r="V308" i="1" s="1"/>
  <c r="T307" i="1"/>
  <c r="U307" i="1" s="1"/>
  <c r="V307" i="1" s="1"/>
  <c r="T306" i="1"/>
  <c r="U306" i="1" s="1"/>
  <c r="V306" i="1" s="1"/>
  <c r="T305" i="1"/>
  <c r="U305" i="1" s="1"/>
  <c r="V305" i="1" s="1"/>
  <c r="T304" i="1"/>
  <c r="U304" i="1" s="1"/>
  <c r="V304" i="1" s="1"/>
  <c r="T303" i="1"/>
  <c r="U303" i="1" s="1"/>
  <c r="V303" i="1" s="1"/>
  <c r="T302" i="1"/>
  <c r="U302" i="1" s="1"/>
  <c r="V302" i="1" s="1"/>
  <c r="T301" i="1"/>
  <c r="U301" i="1" s="1"/>
  <c r="V301" i="1" s="1"/>
  <c r="T300" i="1"/>
  <c r="U300" i="1" s="1"/>
  <c r="V300" i="1" s="1"/>
  <c r="T299" i="1"/>
  <c r="U299" i="1" s="1"/>
  <c r="V299" i="1" s="1"/>
  <c r="T298" i="1"/>
  <c r="U298" i="1" s="1"/>
  <c r="V298" i="1" s="1"/>
  <c r="T297" i="1"/>
  <c r="U297" i="1" s="1"/>
  <c r="V297" i="1" s="1"/>
  <c r="T296" i="1"/>
  <c r="U296" i="1" s="1"/>
  <c r="V296" i="1" s="1"/>
  <c r="T295" i="1"/>
  <c r="U295" i="1" s="1"/>
  <c r="V295" i="1" s="1"/>
  <c r="T294" i="1"/>
  <c r="U294" i="1" s="1"/>
  <c r="V294" i="1" s="1"/>
  <c r="T293" i="1"/>
  <c r="U293" i="1" s="1"/>
  <c r="V293" i="1" s="1"/>
  <c r="T292" i="1"/>
  <c r="U292" i="1" s="1"/>
  <c r="V292" i="1" s="1"/>
  <c r="T291" i="1"/>
  <c r="U291" i="1" s="1"/>
  <c r="V291" i="1" s="1"/>
  <c r="T290" i="1"/>
  <c r="U290" i="1" s="1"/>
  <c r="V290" i="1" s="1"/>
  <c r="T289" i="1"/>
  <c r="U289" i="1" s="1"/>
  <c r="V289" i="1" s="1"/>
  <c r="T288" i="1"/>
  <c r="U288" i="1" s="1"/>
  <c r="V288" i="1" s="1"/>
  <c r="T287" i="1"/>
  <c r="U287" i="1" s="1"/>
  <c r="V287" i="1" s="1"/>
  <c r="T286" i="1"/>
  <c r="U286" i="1" s="1"/>
  <c r="V286" i="1" s="1"/>
  <c r="T285" i="1"/>
  <c r="U285" i="1" s="1"/>
  <c r="V285" i="1" s="1"/>
  <c r="T284" i="1"/>
  <c r="U284" i="1" s="1"/>
  <c r="V284" i="1" s="1"/>
  <c r="T283" i="1"/>
  <c r="U283" i="1" s="1"/>
  <c r="V283" i="1" s="1"/>
  <c r="T282" i="1"/>
  <c r="U282" i="1" s="1"/>
  <c r="V282" i="1" s="1"/>
  <c r="T30" i="1"/>
  <c r="U30" i="1" s="1"/>
  <c r="V30" i="1" s="1"/>
  <c r="T29" i="1"/>
  <c r="U29" i="1" s="1"/>
  <c r="V29" i="1" s="1"/>
  <c r="T28" i="1"/>
  <c r="U28" i="1" s="1"/>
  <c r="V28" i="1" s="1"/>
  <c r="T27" i="1"/>
  <c r="U27" i="1" s="1"/>
  <c r="V27" i="1" s="1"/>
  <c r="T26" i="1"/>
  <c r="U26" i="1" s="1"/>
  <c r="V26" i="1" s="1"/>
  <c r="T25" i="1"/>
  <c r="U25" i="1" s="1"/>
  <c r="V25" i="1" s="1"/>
  <c r="T24" i="1"/>
  <c r="U24" i="1" s="1"/>
  <c r="V24" i="1" s="1"/>
  <c r="T23" i="1"/>
  <c r="U23" i="1" s="1"/>
  <c r="V23" i="1" s="1"/>
  <c r="T22" i="1"/>
  <c r="U22" i="1" s="1"/>
  <c r="V22" i="1" s="1"/>
  <c r="T21" i="1"/>
  <c r="U21" i="1" s="1"/>
  <c r="V21" i="1" s="1"/>
  <c r="T20" i="1"/>
  <c r="U20" i="1" s="1"/>
  <c r="V20" i="1" s="1"/>
  <c r="T19" i="1"/>
  <c r="U19" i="1" s="1"/>
  <c r="V19" i="1" s="1"/>
  <c r="T18" i="1"/>
  <c r="U18" i="1" s="1"/>
  <c r="V18" i="1" s="1"/>
  <c r="T17" i="1"/>
  <c r="U17" i="1" s="1"/>
  <c r="V17" i="1" s="1"/>
  <c r="T16" i="1"/>
  <c r="U16" i="1" s="1"/>
  <c r="V16" i="1" s="1"/>
  <c r="T15" i="1"/>
  <c r="U15" i="1" s="1"/>
  <c r="V15" i="1" s="1"/>
  <c r="T14" i="1"/>
  <c r="U14" i="1" s="1"/>
  <c r="V14" i="1" s="1"/>
  <c r="T13" i="1"/>
  <c r="U13" i="1" s="1"/>
  <c r="V13" i="1" s="1"/>
  <c r="T12" i="1"/>
  <c r="U12" i="1" s="1"/>
  <c r="V12" i="1" s="1"/>
  <c r="T11" i="1"/>
  <c r="U11" i="1" s="1"/>
  <c r="V11" i="1" s="1"/>
  <c r="T10" i="1"/>
  <c r="U10" i="1" s="1"/>
  <c r="V10" i="1" s="1"/>
  <c r="T9" i="1"/>
  <c r="U9" i="1" s="1"/>
  <c r="V9" i="1" s="1"/>
  <c r="T8" i="1"/>
  <c r="U8" i="1" s="1"/>
  <c r="V8" i="1" s="1"/>
  <c r="T7" i="1"/>
  <c r="U7" i="1" s="1"/>
  <c r="V7" i="1" s="1"/>
  <c r="T6" i="1"/>
  <c r="U6" i="1" s="1"/>
  <c r="V6" i="1" s="1"/>
  <c r="T5" i="1"/>
  <c r="U5" i="1" s="1"/>
  <c r="V5" i="1" s="1"/>
  <c r="T4" i="1"/>
  <c r="U4" i="1" s="1"/>
  <c r="V4" i="1" s="1"/>
  <c r="T3" i="1"/>
  <c r="U3" i="1" s="1"/>
  <c r="V3" i="1" s="1"/>
  <c r="T2" i="1"/>
  <c r="U2" i="1" s="1"/>
  <c r="V2" i="1" s="1"/>
  <c r="T92" i="1"/>
  <c r="U92" i="1" s="1"/>
  <c r="V92" i="1" s="1"/>
  <c r="T91" i="1"/>
  <c r="U91" i="1" s="1"/>
  <c r="V91" i="1" s="1"/>
  <c r="T90" i="1"/>
  <c r="U90" i="1" s="1"/>
  <c r="V90" i="1" s="1"/>
  <c r="T89" i="1"/>
  <c r="U89" i="1" s="1"/>
  <c r="V89" i="1" s="1"/>
  <c r="T88" i="1"/>
  <c r="U88" i="1" s="1"/>
  <c r="V88" i="1" s="1"/>
  <c r="T87" i="1"/>
  <c r="U87" i="1" s="1"/>
  <c r="V87" i="1" s="1"/>
  <c r="T86" i="1"/>
  <c r="U86" i="1" s="1"/>
  <c r="V86" i="1" s="1"/>
  <c r="T85" i="1"/>
  <c r="U85" i="1" s="1"/>
  <c r="V85" i="1" s="1"/>
  <c r="T84" i="1"/>
  <c r="U84" i="1" s="1"/>
  <c r="V84" i="1" s="1"/>
  <c r="T83" i="1"/>
  <c r="U83" i="1" s="1"/>
  <c r="V83" i="1" s="1"/>
  <c r="T82" i="1"/>
  <c r="U82" i="1" s="1"/>
  <c r="V82" i="1" s="1"/>
  <c r="T81" i="1"/>
  <c r="U81" i="1" s="1"/>
  <c r="V81" i="1" s="1"/>
  <c r="T80" i="1"/>
  <c r="U80" i="1" s="1"/>
  <c r="V80" i="1" s="1"/>
  <c r="T79" i="1"/>
  <c r="U79" i="1" s="1"/>
  <c r="V79" i="1" s="1"/>
  <c r="T78" i="1"/>
  <c r="U78" i="1" s="1"/>
  <c r="V78" i="1" s="1"/>
  <c r="T77" i="1"/>
  <c r="U77" i="1" s="1"/>
  <c r="V77" i="1" s="1"/>
  <c r="T76" i="1"/>
  <c r="U76" i="1" s="1"/>
  <c r="V76" i="1" s="1"/>
  <c r="T75" i="1"/>
  <c r="U75" i="1" s="1"/>
  <c r="V75" i="1" s="1"/>
  <c r="T74" i="1"/>
  <c r="U74" i="1" s="1"/>
  <c r="V74" i="1" s="1"/>
  <c r="T73" i="1"/>
  <c r="U73" i="1" s="1"/>
  <c r="V73" i="1" s="1"/>
  <c r="T72" i="1"/>
  <c r="U72" i="1" s="1"/>
  <c r="V72" i="1" s="1"/>
  <c r="T71" i="1"/>
  <c r="U71" i="1" s="1"/>
  <c r="V71" i="1" s="1"/>
  <c r="T70" i="1"/>
  <c r="U70" i="1" s="1"/>
  <c r="V70" i="1" s="1"/>
  <c r="T69" i="1"/>
  <c r="U69" i="1" s="1"/>
  <c r="V69" i="1" s="1"/>
  <c r="T68" i="1"/>
  <c r="U68" i="1" s="1"/>
  <c r="V68" i="1" s="1"/>
  <c r="T67" i="1"/>
  <c r="U67" i="1" s="1"/>
  <c r="V67" i="1" s="1"/>
  <c r="T66" i="1"/>
  <c r="U66" i="1" s="1"/>
  <c r="V66" i="1" s="1"/>
  <c r="T65" i="1"/>
  <c r="U65" i="1" s="1"/>
  <c r="V65" i="1" s="1"/>
  <c r="T64" i="1"/>
  <c r="U64" i="1" s="1"/>
  <c r="V64" i="1" s="1"/>
  <c r="T63" i="1"/>
  <c r="U63" i="1" s="1"/>
  <c r="V63" i="1" s="1"/>
  <c r="T62" i="1"/>
  <c r="U62" i="1" s="1"/>
  <c r="V62" i="1" s="1"/>
  <c r="T61" i="1"/>
  <c r="U61" i="1" s="1"/>
  <c r="V61" i="1" s="1"/>
  <c r="T60" i="1"/>
  <c r="U60" i="1" s="1"/>
  <c r="V60" i="1" s="1"/>
  <c r="T59" i="1"/>
  <c r="U59" i="1" s="1"/>
  <c r="V59" i="1" s="1"/>
  <c r="T58" i="1"/>
  <c r="U58" i="1" s="1"/>
  <c r="V58" i="1" s="1"/>
  <c r="T57" i="1"/>
  <c r="U57" i="1" s="1"/>
  <c r="V57" i="1" s="1"/>
  <c r="T56" i="1"/>
  <c r="U56" i="1" s="1"/>
  <c r="V56" i="1" s="1"/>
  <c r="T55" i="1"/>
  <c r="U55" i="1" s="1"/>
  <c r="V55" i="1" s="1"/>
  <c r="T54" i="1"/>
  <c r="U54" i="1" s="1"/>
  <c r="V54" i="1" s="1"/>
  <c r="T53" i="1"/>
  <c r="U53" i="1" s="1"/>
  <c r="V53" i="1" s="1"/>
  <c r="T52" i="1"/>
  <c r="U52" i="1" s="1"/>
  <c r="V52" i="1" s="1"/>
  <c r="T51" i="1"/>
  <c r="U51" i="1" s="1"/>
  <c r="V51" i="1" s="1"/>
  <c r="T50" i="1"/>
  <c r="U50" i="1" s="1"/>
  <c r="V50" i="1" s="1"/>
  <c r="T49" i="1"/>
  <c r="U49" i="1" s="1"/>
  <c r="V49" i="1" s="1"/>
  <c r="T48" i="1"/>
  <c r="U48" i="1" s="1"/>
  <c r="V48" i="1" s="1"/>
  <c r="T47" i="1"/>
  <c r="U47" i="1" s="1"/>
  <c r="V47" i="1" s="1"/>
  <c r="T46" i="1"/>
  <c r="U46" i="1" s="1"/>
  <c r="V46" i="1" s="1"/>
  <c r="T45" i="1"/>
  <c r="U45" i="1" s="1"/>
  <c r="V45" i="1" s="1"/>
  <c r="T44" i="1"/>
  <c r="U44" i="1" s="1"/>
  <c r="V44" i="1" s="1"/>
  <c r="T43" i="1"/>
  <c r="U43" i="1" s="1"/>
  <c r="V43" i="1" s="1"/>
  <c r="T42" i="1"/>
  <c r="U42" i="1" s="1"/>
  <c r="V42" i="1" s="1"/>
  <c r="T41" i="1"/>
  <c r="U41" i="1" s="1"/>
  <c r="V41" i="1" s="1"/>
  <c r="T40" i="1"/>
  <c r="U40" i="1" s="1"/>
  <c r="V40" i="1" s="1"/>
  <c r="T39" i="1"/>
  <c r="U39" i="1" s="1"/>
  <c r="V39" i="1" s="1"/>
  <c r="T38" i="1"/>
  <c r="U38" i="1" s="1"/>
  <c r="V38" i="1" s="1"/>
  <c r="T37" i="1"/>
  <c r="U37" i="1" s="1"/>
  <c r="V37" i="1" s="1"/>
  <c r="T36" i="1"/>
  <c r="U36" i="1" s="1"/>
  <c r="V36" i="1" s="1"/>
  <c r="T35" i="1"/>
  <c r="U35" i="1" s="1"/>
  <c r="V35" i="1" s="1"/>
  <c r="T34" i="1"/>
  <c r="U34" i="1" s="1"/>
  <c r="V34" i="1" s="1"/>
  <c r="T33" i="1"/>
  <c r="U33" i="1" s="1"/>
  <c r="V33" i="1" s="1"/>
  <c r="T32" i="1"/>
  <c r="U32" i="1" s="1"/>
  <c r="V32" i="1" s="1"/>
  <c r="T31" i="1"/>
  <c r="U31" i="1" s="1"/>
  <c r="V31" i="1" s="1"/>
  <c r="T544" i="1"/>
  <c r="U544" i="1" s="1"/>
  <c r="V544" i="1" s="1"/>
  <c r="T543" i="1"/>
  <c r="U543" i="1" s="1"/>
  <c r="V543" i="1" s="1"/>
  <c r="T542" i="1"/>
  <c r="U542" i="1" s="1"/>
  <c r="V542" i="1" s="1"/>
  <c r="T541" i="1"/>
  <c r="U541" i="1" s="1"/>
  <c r="V541" i="1" s="1"/>
  <c r="T540" i="1"/>
  <c r="U540" i="1" s="1"/>
  <c r="V540" i="1" s="1"/>
  <c r="T539" i="1"/>
  <c r="U539" i="1" s="1"/>
  <c r="V539" i="1" s="1"/>
  <c r="T538" i="1"/>
  <c r="U538" i="1" s="1"/>
  <c r="V538" i="1" s="1"/>
  <c r="T537" i="1"/>
  <c r="U537" i="1" s="1"/>
  <c r="V537" i="1" s="1"/>
  <c r="T536" i="1"/>
  <c r="U536" i="1" s="1"/>
  <c r="V536" i="1" s="1"/>
  <c r="T535" i="1"/>
  <c r="U535" i="1" s="1"/>
  <c r="V535" i="1" s="1"/>
  <c r="T534" i="1"/>
  <c r="U534" i="1" s="1"/>
  <c r="V534" i="1" s="1"/>
  <c r="T533" i="1"/>
  <c r="U533" i="1" s="1"/>
  <c r="V533" i="1" s="1"/>
  <c r="T532" i="1"/>
  <c r="U532" i="1" s="1"/>
  <c r="V532" i="1" s="1"/>
  <c r="T531" i="1"/>
  <c r="U531" i="1" s="1"/>
  <c r="V531" i="1" s="1"/>
  <c r="T530" i="1"/>
  <c r="U530" i="1" s="1"/>
  <c r="V530" i="1" s="1"/>
  <c r="T529" i="1"/>
  <c r="U529" i="1" s="1"/>
  <c r="V529" i="1" s="1"/>
  <c r="T528" i="1"/>
  <c r="U528" i="1" s="1"/>
  <c r="V528" i="1" s="1"/>
  <c r="T527" i="1"/>
  <c r="U527" i="1" s="1"/>
  <c r="V527" i="1" s="1"/>
  <c r="T526" i="1"/>
  <c r="U526" i="1" s="1"/>
  <c r="V526" i="1" s="1"/>
  <c r="T525" i="1"/>
  <c r="U525" i="1" s="1"/>
  <c r="V525" i="1" s="1"/>
  <c r="T524" i="1"/>
  <c r="U524" i="1" s="1"/>
  <c r="V524" i="1" s="1"/>
  <c r="T523" i="1"/>
  <c r="U523" i="1" s="1"/>
  <c r="V523" i="1" s="1"/>
  <c r="T522" i="1"/>
  <c r="U522" i="1" s="1"/>
  <c r="V522" i="1" s="1"/>
  <c r="T521" i="1"/>
  <c r="U521" i="1" s="1"/>
  <c r="V521" i="1" s="1"/>
  <c r="T520" i="1"/>
  <c r="U520" i="1" s="1"/>
  <c r="V520" i="1" s="1"/>
  <c r="T519" i="1"/>
  <c r="U519" i="1" s="1"/>
  <c r="V519" i="1" s="1"/>
  <c r="T518" i="1"/>
  <c r="U518" i="1" s="1"/>
  <c r="V518" i="1" s="1"/>
  <c r="T517" i="1"/>
  <c r="U517" i="1" s="1"/>
  <c r="V517" i="1" s="1"/>
  <c r="T516" i="1"/>
  <c r="U516" i="1" s="1"/>
  <c r="V516" i="1" s="1"/>
  <c r="E517" i="1"/>
  <c r="Q517" i="1" s="1"/>
  <c r="E518" i="1"/>
  <c r="Q518" i="1" s="1"/>
  <c r="E519" i="1"/>
  <c r="Q519" i="1" s="1"/>
  <c r="E520" i="1"/>
  <c r="Q520" i="1" s="1"/>
  <c r="E521" i="1"/>
  <c r="Q521" i="1" s="1"/>
  <c r="E522" i="1"/>
  <c r="Q522" i="1" s="1"/>
  <c r="E523" i="1"/>
  <c r="Q523" i="1" s="1"/>
  <c r="E524" i="1"/>
  <c r="Q524" i="1" s="1"/>
  <c r="E525" i="1"/>
  <c r="Q525" i="1" s="1"/>
  <c r="E526" i="1"/>
  <c r="Q526" i="1" s="1"/>
  <c r="E527" i="1"/>
  <c r="Q527" i="1" s="1"/>
  <c r="E528" i="1"/>
  <c r="Q528" i="1" s="1"/>
  <c r="E529" i="1"/>
  <c r="Q529" i="1" s="1"/>
  <c r="E530" i="1"/>
  <c r="Q530" i="1" s="1"/>
  <c r="E531" i="1"/>
  <c r="Q531" i="1" s="1"/>
  <c r="E532" i="1"/>
  <c r="Q532" i="1" s="1"/>
  <c r="E533" i="1"/>
  <c r="Q533" i="1" s="1"/>
  <c r="E534" i="1"/>
  <c r="Q534" i="1" s="1"/>
  <c r="E535" i="1"/>
  <c r="Q535" i="1" s="1"/>
  <c r="E536" i="1"/>
  <c r="Q536" i="1" s="1"/>
  <c r="E537" i="1"/>
  <c r="Q537" i="1" s="1"/>
  <c r="E538" i="1"/>
  <c r="Q538" i="1" s="1"/>
  <c r="E539" i="1"/>
  <c r="Q539" i="1" s="1"/>
  <c r="E540" i="1"/>
  <c r="Q540" i="1" s="1"/>
  <c r="E541" i="1"/>
  <c r="Q541" i="1" s="1"/>
  <c r="E542" i="1"/>
  <c r="Q542" i="1" s="1"/>
  <c r="E543" i="1"/>
  <c r="Q543" i="1" s="1"/>
  <c r="E544" i="1"/>
  <c r="Q544" i="1" s="1"/>
  <c r="E31" i="1"/>
  <c r="Q31" i="1" s="1"/>
  <c r="E32" i="1"/>
  <c r="Q32" i="1" s="1"/>
  <c r="E33" i="1"/>
  <c r="Q33" i="1" s="1"/>
  <c r="E34" i="1"/>
  <c r="Q34" i="1" s="1"/>
  <c r="E35" i="1"/>
  <c r="Q35" i="1" s="1"/>
  <c r="E36" i="1"/>
  <c r="Q36" i="1" s="1"/>
  <c r="E37" i="1"/>
  <c r="Q37" i="1" s="1"/>
  <c r="E38" i="1"/>
  <c r="Q38" i="1" s="1"/>
  <c r="E39" i="1"/>
  <c r="Q39" i="1" s="1"/>
  <c r="E40" i="1"/>
  <c r="Q40" i="1" s="1"/>
  <c r="E41" i="1"/>
  <c r="Q41" i="1" s="1"/>
  <c r="E42" i="1"/>
  <c r="Q42" i="1" s="1"/>
  <c r="E43" i="1"/>
  <c r="Q43" i="1" s="1"/>
  <c r="E44" i="1"/>
  <c r="Q44" i="1" s="1"/>
  <c r="E45" i="1"/>
  <c r="Q45" i="1" s="1"/>
  <c r="E46" i="1"/>
  <c r="Q46" i="1" s="1"/>
  <c r="E47" i="1"/>
  <c r="Q47" i="1" s="1"/>
  <c r="E48" i="1"/>
  <c r="Q48" i="1" s="1"/>
  <c r="E49" i="1"/>
  <c r="Q49" i="1" s="1"/>
  <c r="E50" i="1"/>
  <c r="Q50" i="1" s="1"/>
  <c r="E51" i="1"/>
  <c r="Q51" i="1" s="1"/>
  <c r="E52" i="1"/>
  <c r="Q52" i="1" s="1"/>
  <c r="E53" i="1"/>
  <c r="Q53" i="1" s="1"/>
  <c r="E54" i="1"/>
  <c r="Q54" i="1" s="1"/>
  <c r="E55" i="1"/>
  <c r="Q55" i="1" s="1"/>
  <c r="E56" i="1"/>
  <c r="Q56" i="1" s="1"/>
  <c r="E57" i="1"/>
  <c r="Q57" i="1" s="1"/>
  <c r="E58" i="1"/>
  <c r="Q58" i="1" s="1"/>
  <c r="E59" i="1"/>
  <c r="Q59" i="1" s="1"/>
  <c r="E60" i="1"/>
  <c r="Q60" i="1" s="1"/>
  <c r="E61" i="1"/>
  <c r="Q61" i="1" s="1"/>
  <c r="E62" i="1"/>
  <c r="Q62" i="1" s="1"/>
  <c r="E63" i="1"/>
  <c r="Q63" i="1" s="1"/>
  <c r="E64" i="1"/>
  <c r="Q64" i="1" s="1"/>
  <c r="E65" i="1"/>
  <c r="Q65" i="1" s="1"/>
  <c r="E66" i="1"/>
  <c r="Q66" i="1" s="1"/>
  <c r="E67" i="1"/>
  <c r="Q67" i="1" s="1"/>
  <c r="E68" i="1"/>
  <c r="Q68" i="1" s="1"/>
  <c r="E69" i="1"/>
  <c r="Q69" i="1" s="1"/>
  <c r="E70" i="1"/>
  <c r="Q70" i="1" s="1"/>
  <c r="E71" i="1"/>
  <c r="Q71" i="1" s="1"/>
  <c r="E72" i="1"/>
  <c r="Q72" i="1" s="1"/>
  <c r="E73" i="1"/>
  <c r="Q73" i="1" s="1"/>
  <c r="E74" i="1"/>
  <c r="Q74" i="1" s="1"/>
  <c r="E75" i="1"/>
  <c r="Q75" i="1" s="1"/>
  <c r="E76" i="1"/>
  <c r="Q76" i="1" s="1"/>
  <c r="E77" i="1"/>
  <c r="Q77" i="1" s="1"/>
  <c r="E78" i="1"/>
  <c r="Q78" i="1" s="1"/>
  <c r="E79" i="1"/>
  <c r="Q79" i="1" s="1"/>
  <c r="E80" i="1"/>
  <c r="Q80" i="1" s="1"/>
  <c r="E81" i="1"/>
  <c r="Q81" i="1" s="1"/>
  <c r="E82" i="1"/>
  <c r="Q82" i="1" s="1"/>
  <c r="E83" i="1"/>
  <c r="Q83" i="1" s="1"/>
  <c r="E84" i="1"/>
  <c r="Q84" i="1" s="1"/>
  <c r="E85" i="1"/>
  <c r="Q85" i="1" s="1"/>
  <c r="E86" i="1"/>
  <c r="Q86" i="1" s="1"/>
  <c r="E87" i="1"/>
  <c r="Q87" i="1" s="1"/>
  <c r="E88" i="1"/>
  <c r="Q88" i="1" s="1"/>
  <c r="E89" i="1"/>
  <c r="Q89" i="1" s="1"/>
  <c r="E90" i="1"/>
  <c r="Q90" i="1" s="1"/>
  <c r="E91" i="1"/>
  <c r="Q91" i="1" s="1"/>
  <c r="E92" i="1"/>
  <c r="Q92" i="1" s="1"/>
  <c r="E2" i="1"/>
  <c r="Q2" i="1" s="1"/>
  <c r="E3" i="1"/>
  <c r="Q3" i="1" s="1"/>
  <c r="E4" i="1"/>
  <c r="Q4" i="1" s="1"/>
  <c r="E5" i="1"/>
  <c r="Q5" i="1" s="1"/>
  <c r="E6" i="1"/>
  <c r="Q6" i="1" s="1"/>
  <c r="E7" i="1"/>
  <c r="Q7" i="1" s="1"/>
  <c r="E8" i="1"/>
  <c r="Q8" i="1" s="1"/>
  <c r="E9" i="1"/>
  <c r="Q9" i="1" s="1"/>
  <c r="E10" i="1"/>
  <c r="Q10" i="1" s="1"/>
  <c r="E11" i="1"/>
  <c r="Q11" i="1" s="1"/>
  <c r="E12" i="1"/>
  <c r="Q12" i="1" s="1"/>
  <c r="E13" i="1"/>
  <c r="Q13" i="1" s="1"/>
  <c r="E14" i="1"/>
  <c r="Q14" i="1" s="1"/>
  <c r="E15" i="1"/>
  <c r="Q15" i="1" s="1"/>
  <c r="E16" i="1"/>
  <c r="Q16" i="1" s="1"/>
  <c r="E17" i="1"/>
  <c r="Q17" i="1" s="1"/>
  <c r="E18" i="1"/>
  <c r="Q18" i="1" s="1"/>
  <c r="E19" i="1"/>
  <c r="Q19" i="1" s="1"/>
  <c r="E20" i="1"/>
  <c r="Q20" i="1" s="1"/>
  <c r="E21" i="1"/>
  <c r="Q21" i="1" s="1"/>
  <c r="E22" i="1"/>
  <c r="Q22" i="1" s="1"/>
  <c r="E23" i="1"/>
  <c r="Q23" i="1" s="1"/>
  <c r="E24" i="1"/>
  <c r="Q24" i="1" s="1"/>
  <c r="E25" i="1"/>
  <c r="Q25" i="1" s="1"/>
  <c r="E26" i="1"/>
  <c r="Q26" i="1" s="1"/>
  <c r="E27" i="1"/>
  <c r="Q27" i="1" s="1"/>
  <c r="E28" i="1"/>
  <c r="Q28" i="1" s="1"/>
  <c r="E29" i="1"/>
  <c r="Q29" i="1" s="1"/>
  <c r="E30" i="1"/>
  <c r="Q30" i="1" s="1"/>
  <c r="E282" i="1"/>
  <c r="Q282" i="1" s="1"/>
  <c r="E283" i="1"/>
  <c r="Q283" i="1" s="1"/>
  <c r="E284" i="1"/>
  <c r="Q284" i="1" s="1"/>
  <c r="E285" i="1"/>
  <c r="Q285" i="1" s="1"/>
  <c r="E286" i="1"/>
  <c r="Q286" i="1" s="1"/>
  <c r="E287" i="1"/>
  <c r="Q287" i="1" s="1"/>
  <c r="E288" i="1"/>
  <c r="Q288" i="1" s="1"/>
  <c r="E289" i="1"/>
  <c r="Q289" i="1" s="1"/>
  <c r="E290" i="1"/>
  <c r="Q290" i="1" s="1"/>
  <c r="E291" i="1"/>
  <c r="Q291" i="1" s="1"/>
  <c r="E292" i="1"/>
  <c r="Q292" i="1" s="1"/>
  <c r="E293" i="1"/>
  <c r="Q293" i="1" s="1"/>
  <c r="E294" i="1"/>
  <c r="Q294" i="1" s="1"/>
  <c r="E295" i="1"/>
  <c r="Q295" i="1" s="1"/>
  <c r="E296" i="1"/>
  <c r="Q296" i="1" s="1"/>
  <c r="E297" i="1"/>
  <c r="Q297" i="1" s="1"/>
  <c r="E298" i="1"/>
  <c r="Q298" i="1" s="1"/>
  <c r="E299" i="1"/>
  <c r="Q299" i="1" s="1"/>
  <c r="E300" i="1"/>
  <c r="Q300" i="1" s="1"/>
  <c r="E301" i="1"/>
  <c r="Q301" i="1" s="1"/>
  <c r="E302" i="1"/>
  <c r="Q302" i="1" s="1"/>
  <c r="E303" i="1"/>
  <c r="Q303" i="1" s="1"/>
  <c r="E304" i="1"/>
  <c r="Q304" i="1" s="1"/>
  <c r="E305" i="1"/>
  <c r="Q305" i="1" s="1"/>
  <c r="E306" i="1"/>
  <c r="Q306" i="1" s="1"/>
  <c r="E307" i="1"/>
  <c r="Q307" i="1" s="1"/>
  <c r="E308" i="1"/>
  <c r="Q308" i="1" s="1"/>
  <c r="E309" i="1"/>
  <c r="Q309" i="1" s="1"/>
  <c r="E310" i="1"/>
  <c r="Q310" i="1" s="1"/>
  <c r="E93" i="1"/>
  <c r="Q93" i="1" s="1"/>
  <c r="E94" i="1"/>
  <c r="Q94" i="1" s="1"/>
  <c r="E95" i="1"/>
  <c r="Q95" i="1" s="1"/>
  <c r="E96" i="1"/>
  <c r="Q96" i="1" s="1"/>
  <c r="E97" i="1"/>
  <c r="Q97" i="1" s="1"/>
  <c r="E98" i="1"/>
  <c r="Q98" i="1" s="1"/>
  <c r="E99" i="1"/>
  <c r="Q99" i="1" s="1"/>
  <c r="E100" i="1"/>
  <c r="Q100" i="1" s="1"/>
  <c r="E101" i="1"/>
  <c r="Q101" i="1" s="1"/>
  <c r="E102" i="1"/>
  <c r="Q102" i="1" s="1"/>
  <c r="E103" i="1"/>
  <c r="Q103" i="1" s="1"/>
  <c r="E104" i="1"/>
  <c r="Q104" i="1" s="1"/>
  <c r="E105" i="1"/>
  <c r="Q105" i="1" s="1"/>
  <c r="E106" i="1"/>
  <c r="Q106" i="1" s="1"/>
  <c r="E107" i="1"/>
  <c r="Q107" i="1" s="1"/>
  <c r="E108" i="1"/>
  <c r="Q108" i="1" s="1"/>
  <c r="E109" i="1"/>
  <c r="Q109" i="1" s="1"/>
  <c r="E110" i="1"/>
  <c r="Q110" i="1" s="1"/>
  <c r="E111" i="1"/>
  <c r="Q111" i="1" s="1"/>
  <c r="E112" i="1"/>
  <c r="Q112" i="1" s="1"/>
  <c r="E113" i="1"/>
  <c r="Q113" i="1" s="1"/>
  <c r="E114" i="1"/>
  <c r="Q114" i="1" s="1"/>
  <c r="E115" i="1"/>
  <c r="Q115" i="1" s="1"/>
  <c r="E116" i="1"/>
  <c r="Q116" i="1" s="1"/>
  <c r="E117" i="1"/>
  <c r="Q117" i="1" s="1"/>
  <c r="E118" i="1"/>
  <c r="Q118" i="1" s="1"/>
  <c r="E119" i="1"/>
  <c r="Q119" i="1" s="1"/>
  <c r="E120" i="1"/>
  <c r="Q120" i="1" s="1"/>
  <c r="E121" i="1"/>
  <c r="Q121" i="1" s="1"/>
  <c r="E122" i="1"/>
  <c r="Q122" i="1" s="1"/>
  <c r="E123" i="1"/>
  <c r="Q123" i="1" s="1"/>
  <c r="E124" i="1"/>
  <c r="Q124" i="1" s="1"/>
  <c r="E125" i="1"/>
  <c r="Q125" i="1" s="1"/>
  <c r="E487" i="1"/>
  <c r="Q487" i="1" s="1"/>
  <c r="E488" i="1"/>
  <c r="Q488" i="1" s="1"/>
  <c r="E489" i="1"/>
  <c r="Q489" i="1" s="1"/>
  <c r="E490" i="1"/>
  <c r="Q490" i="1" s="1"/>
  <c r="E491" i="1"/>
  <c r="Q491" i="1" s="1"/>
  <c r="E492" i="1"/>
  <c r="Q492" i="1" s="1"/>
  <c r="E493" i="1"/>
  <c r="Q493" i="1" s="1"/>
  <c r="E494" i="1"/>
  <c r="Q494" i="1" s="1"/>
  <c r="E495" i="1"/>
  <c r="Q495" i="1" s="1"/>
  <c r="E496" i="1"/>
  <c r="Q496" i="1" s="1"/>
  <c r="E497" i="1"/>
  <c r="Q497" i="1" s="1"/>
  <c r="E498" i="1"/>
  <c r="Q498" i="1" s="1"/>
  <c r="E499" i="1"/>
  <c r="Q499" i="1" s="1"/>
  <c r="E500" i="1"/>
  <c r="Q500" i="1" s="1"/>
  <c r="E501" i="1"/>
  <c r="Q501" i="1" s="1"/>
  <c r="E502" i="1"/>
  <c r="Q502" i="1" s="1"/>
  <c r="E503" i="1"/>
  <c r="Q503" i="1" s="1"/>
  <c r="E504" i="1"/>
  <c r="Q504" i="1" s="1"/>
  <c r="E505" i="1"/>
  <c r="Q505" i="1" s="1"/>
  <c r="E506" i="1"/>
  <c r="Q506" i="1" s="1"/>
  <c r="E507" i="1"/>
  <c r="Q507" i="1" s="1"/>
  <c r="E508" i="1"/>
  <c r="Q508" i="1" s="1"/>
  <c r="E509" i="1"/>
  <c r="Q509" i="1" s="1"/>
  <c r="E510" i="1"/>
  <c r="Q510" i="1" s="1"/>
  <c r="E511" i="1"/>
  <c r="Q511" i="1" s="1"/>
  <c r="E512" i="1"/>
  <c r="Q512" i="1" s="1"/>
  <c r="E513" i="1"/>
  <c r="Q513" i="1" s="1"/>
  <c r="E514" i="1"/>
  <c r="Q514" i="1" s="1"/>
  <c r="E515" i="1"/>
  <c r="Q515" i="1" s="1"/>
  <c r="E220" i="1"/>
  <c r="Q220" i="1" s="1"/>
  <c r="E221" i="1"/>
  <c r="Q221" i="1" s="1"/>
  <c r="E222" i="1"/>
  <c r="Q222" i="1" s="1"/>
  <c r="E223" i="1"/>
  <c r="Q223" i="1" s="1"/>
  <c r="E224" i="1"/>
  <c r="Q224" i="1" s="1"/>
  <c r="E225" i="1"/>
  <c r="Q225" i="1" s="1"/>
  <c r="E226" i="1"/>
  <c r="Q226" i="1" s="1"/>
  <c r="E227" i="1"/>
  <c r="Q227" i="1" s="1"/>
  <c r="E228" i="1"/>
  <c r="Q228" i="1" s="1"/>
  <c r="E229" i="1"/>
  <c r="Q229" i="1" s="1"/>
  <c r="E230" i="1"/>
  <c r="Q230" i="1" s="1"/>
  <c r="E231" i="1"/>
  <c r="Q231" i="1" s="1"/>
  <c r="E232" i="1"/>
  <c r="Q232" i="1" s="1"/>
  <c r="E233" i="1"/>
  <c r="Q233" i="1" s="1"/>
  <c r="E234" i="1"/>
  <c r="Q234" i="1" s="1"/>
  <c r="E235" i="1"/>
  <c r="Q235" i="1" s="1"/>
  <c r="E236" i="1"/>
  <c r="Q236" i="1" s="1"/>
  <c r="E237" i="1"/>
  <c r="Q237" i="1" s="1"/>
  <c r="E238" i="1"/>
  <c r="Q238" i="1" s="1"/>
  <c r="E239" i="1"/>
  <c r="Q239" i="1" s="1"/>
  <c r="E240" i="1"/>
  <c r="Q240" i="1" s="1"/>
  <c r="E241" i="1"/>
  <c r="Q241" i="1" s="1"/>
  <c r="E242" i="1"/>
  <c r="Q242" i="1" s="1"/>
  <c r="E243" i="1"/>
  <c r="Q243" i="1" s="1"/>
  <c r="E244" i="1"/>
  <c r="Q244" i="1" s="1"/>
  <c r="E245" i="1"/>
  <c r="Q245" i="1" s="1"/>
  <c r="E246" i="1"/>
  <c r="Q246" i="1" s="1"/>
  <c r="E247" i="1"/>
  <c r="Q247" i="1" s="1"/>
  <c r="E248" i="1"/>
  <c r="Q248" i="1" s="1"/>
  <c r="E249" i="1"/>
  <c r="Q249" i="1" s="1"/>
  <c r="E250" i="1"/>
  <c r="Q250" i="1" s="1"/>
  <c r="E251" i="1"/>
  <c r="Q251" i="1" s="1"/>
  <c r="E252" i="1"/>
  <c r="Q252" i="1" s="1"/>
  <c r="E253" i="1"/>
  <c r="Q253" i="1" s="1"/>
  <c r="E254" i="1"/>
  <c r="Q254" i="1" s="1"/>
  <c r="E255" i="1"/>
  <c r="Q255" i="1" s="1"/>
  <c r="E256" i="1"/>
  <c r="Q256" i="1" s="1"/>
  <c r="E257" i="1"/>
  <c r="Q257" i="1" s="1"/>
  <c r="E258" i="1"/>
  <c r="Q258" i="1" s="1"/>
  <c r="E259" i="1"/>
  <c r="Q259" i="1" s="1"/>
  <c r="E260" i="1"/>
  <c r="Q260" i="1" s="1"/>
  <c r="E261" i="1"/>
  <c r="Q261" i="1" s="1"/>
  <c r="E262" i="1"/>
  <c r="Q262" i="1" s="1"/>
  <c r="E263" i="1"/>
  <c r="Q263" i="1" s="1"/>
  <c r="E264" i="1"/>
  <c r="Q264" i="1" s="1"/>
  <c r="E265" i="1"/>
  <c r="Q265" i="1" s="1"/>
  <c r="E266" i="1"/>
  <c r="Q266" i="1" s="1"/>
  <c r="E267" i="1"/>
  <c r="Q267" i="1" s="1"/>
  <c r="E268" i="1"/>
  <c r="Q268" i="1" s="1"/>
  <c r="E269" i="1"/>
  <c r="Q269" i="1" s="1"/>
  <c r="E270" i="1"/>
  <c r="Q270" i="1" s="1"/>
  <c r="E271" i="1"/>
  <c r="Q271" i="1" s="1"/>
  <c r="E272" i="1"/>
  <c r="Q272" i="1" s="1"/>
  <c r="E273" i="1"/>
  <c r="Q273" i="1" s="1"/>
  <c r="E274" i="1"/>
  <c r="Q274" i="1" s="1"/>
  <c r="E275" i="1"/>
  <c r="Q275" i="1" s="1"/>
  <c r="E276" i="1"/>
  <c r="Q276" i="1" s="1"/>
  <c r="E277" i="1"/>
  <c r="Q277" i="1" s="1"/>
  <c r="E278" i="1"/>
  <c r="Q278" i="1" s="1"/>
  <c r="E279" i="1"/>
  <c r="Q279" i="1" s="1"/>
  <c r="E280" i="1"/>
  <c r="Q280" i="1" s="1"/>
  <c r="E281" i="1"/>
  <c r="Q281" i="1" s="1"/>
  <c r="E188" i="1"/>
  <c r="Q188" i="1" s="1"/>
  <c r="E189" i="1"/>
  <c r="Q189" i="1" s="1"/>
  <c r="E190" i="1"/>
  <c r="Q190" i="1" s="1"/>
  <c r="E191" i="1"/>
  <c r="Q191" i="1" s="1"/>
  <c r="E192" i="1"/>
  <c r="Q192" i="1" s="1"/>
  <c r="E193" i="1"/>
  <c r="Q193" i="1" s="1"/>
  <c r="E194" i="1"/>
  <c r="Q194" i="1" s="1"/>
  <c r="E195" i="1"/>
  <c r="Q195" i="1" s="1"/>
  <c r="E196" i="1"/>
  <c r="Q196" i="1" s="1"/>
  <c r="E197" i="1"/>
  <c r="Q197" i="1" s="1"/>
  <c r="E198" i="1"/>
  <c r="Q198" i="1" s="1"/>
  <c r="E199" i="1"/>
  <c r="Q199" i="1" s="1"/>
  <c r="E200" i="1"/>
  <c r="Q200" i="1" s="1"/>
  <c r="E201" i="1"/>
  <c r="Q201" i="1" s="1"/>
  <c r="E202" i="1"/>
  <c r="Q202" i="1" s="1"/>
  <c r="E203" i="1"/>
  <c r="Q203" i="1" s="1"/>
  <c r="E204" i="1"/>
  <c r="Q204" i="1" s="1"/>
  <c r="E205" i="1"/>
  <c r="Q205" i="1" s="1"/>
  <c r="E206" i="1"/>
  <c r="Q206" i="1" s="1"/>
  <c r="E207" i="1"/>
  <c r="Q207" i="1" s="1"/>
  <c r="E208" i="1"/>
  <c r="Q208" i="1" s="1"/>
  <c r="E209" i="1"/>
  <c r="Q209" i="1" s="1"/>
  <c r="E210" i="1"/>
  <c r="Q210" i="1" s="1"/>
  <c r="E211" i="1"/>
  <c r="Q211" i="1" s="1"/>
  <c r="E212" i="1"/>
  <c r="Q212" i="1" s="1"/>
  <c r="E213" i="1"/>
  <c r="Q213" i="1" s="1"/>
  <c r="E214" i="1"/>
  <c r="Q214" i="1" s="1"/>
  <c r="E215" i="1"/>
  <c r="Q215" i="1" s="1"/>
  <c r="E216" i="1"/>
  <c r="Q216" i="1" s="1"/>
  <c r="E217" i="1"/>
  <c r="Q217" i="1" s="1"/>
  <c r="E218" i="1"/>
  <c r="Q218" i="1" s="1"/>
  <c r="E219" i="1"/>
  <c r="Q219" i="1" s="1"/>
  <c r="E126" i="1"/>
  <c r="Q126" i="1" s="1"/>
  <c r="E127" i="1"/>
  <c r="Q127" i="1" s="1"/>
  <c r="E128" i="1"/>
  <c r="Q128" i="1" s="1"/>
  <c r="E129" i="1"/>
  <c r="Q129" i="1" s="1"/>
  <c r="E130" i="1"/>
  <c r="Q130" i="1" s="1"/>
  <c r="E131" i="1"/>
  <c r="Q131" i="1" s="1"/>
  <c r="E132" i="1"/>
  <c r="Q132" i="1" s="1"/>
  <c r="E133" i="1"/>
  <c r="Q133" i="1" s="1"/>
  <c r="E134" i="1"/>
  <c r="Q134" i="1" s="1"/>
  <c r="E135" i="1"/>
  <c r="Q135" i="1" s="1"/>
  <c r="E136" i="1"/>
  <c r="Q136" i="1" s="1"/>
  <c r="E137" i="1"/>
  <c r="Q137" i="1" s="1"/>
  <c r="E138" i="1"/>
  <c r="Q138" i="1" s="1"/>
  <c r="E139" i="1"/>
  <c r="Q139" i="1" s="1"/>
  <c r="E140" i="1"/>
  <c r="Q140" i="1" s="1"/>
  <c r="E141" i="1"/>
  <c r="Q141" i="1" s="1"/>
  <c r="E142" i="1"/>
  <c r="Q142" i="1" s="1"/>
  <c r="E143" i="1"/>
  <c r="Q143" i="1" s="1"/>
  <c r="E144" i="1"/>
  <c r="Q144" i="1" s="1"/>
  <c r="E145" i="1"/>
  <c r="Q145" i="1" s="1"/>
  <c r="E146" i="1"/>
  <c r="Q146" i="1" s="1"/>
  <c r="E147" i="1"/>
  <c r="Q147" i="1" s="1"/>
  <c r="E148" i="1"/>
  <c r="Q148" i="1" s="1"/>
  <c r="E149" i="1"/>
  <c r="Q149" i="1" s="1"/>
  <c r="E150" i="1"/>
  <c r="Q150" i="1" s="1"/>
  <c r="E151" i="1"/>
  <c r="Q151" i="1" s="1"/>
  <c r="E152" i="1"/>
  <c r="Q152" i="1" s="1"/>
  <c r="E153" i="1"/>
  <c r="Q153" i="1" s="1"/>
  <c r="E154" i="1"/>
  <c r="Q154" i="1" s="1"/>
  <c r="E155" i="1"/>
  <c r="Q155" i="1" s="1"/>
  <c r="E156" i="1"/>
  <c r="Q156" i="1" s="1"/>
  <c r="E157" i="1"/>
  <c r="Q157" i="1" s="1"/>
  <c r="E158" i="1"/>
  <c r="Q158" i="1" s="1"/>
  <c r="E159" i="1"/>
  <c r="Q159" i="1" s="1"/>
  <c r="E160" i="1"/>
  <c r="Q160" i="1" s="1"/>
  <c r="E161" i="1"/>
  <c r="Q161" i="1" s="1"/>
  <c r="E162" i="1"/>
  <c r="Q162" i="1" s="1"/>
  <c r="E163" i="1"/>
  <c r="Q163" i="1" s="1"/>
  <c r="E164" i="1"/>
  <c r="Q164" i="1" s="1"/>
  <c r="E165" i="1"/>
  <c r="Q165" i="1" s="1"/>
  <c r="E166" i="1"/>
  <c r="Q166" i="1" s="1"/>
  <c r="E167" i="1"/>
  <c r="Q167" i="1" s="1"/>
  <c r="E168" i="1"/>
  <c r="Q168" i="1" s="1"/>
  <c r="E169" i="1"/>
  <c r="Q169" i="1" s="1"/>
  <c r="E170" i="1"/>
  <c r="Q170" i="1" s="1"/>
  <c r="E171" i="1"/>
  <c r="Q171" i="1" s="1"/>
  <c r="E172" i="1"/>
  <c r="Q172" i="1" s="1"/>
  <c r="E173" i="1"/>
  <c r="Q173" i="1" s="1"/>
  <c r="E174" i="1"/>
  <c r="Q174" i="1" s="1"/>
  <c r="E175" i="1"/>
  <c r="Q175" i="1" s="1"/>
  <c r="E176" i="1"/>
  <c r="Q176" i="1" s="1"/>
  <c r="E177" i="1"/>
  <c r="Q177" i="1" s="1"/>
  <c r="E178" i="1"/>
  <c r="Q178" i="1" s="1"/>
  <c r="E179" i="1"/>
  <c r="Q179" i="1" s="1"/>
  <c r="E180" i="1"/>
  <c r="Q180" i="1" s="1"/>
  <c r="E181" i="1"/>
  <c r="Q181" i="1" s="1"/>
  <c r="E182" i="1"/>
  <c r="Q182" i="1" s="1"/>
  <c r="E183" i="1"/>
  <c r="Q183" i="1" s="1"/>
  <c r="E184" i="1"/>
  <c r="Q184" i="1" s="1"/>
  <c r="E185" i="1"/>
  <c r="Q185" i="1" s="1"/>
  <c r="E186" i="1"/>
  <c r="Q186" i="1" s="1"/>
  <c r="E187" i="1"/>
  <c r="Q187" i="1" s="1"/>
  <c r="E422" i="1"/>
  <c r="Q422" i="1" s="1"/>
  <c r="E423" i="1"/>
  <c r="Q423" i="1" s="1"/>
  <c r="E424" i="1"/>
  <c r="Q424" i="1" s="1"/>
  <c r="E425" i="1"/>
  <c r="Q425" i="1" s="1"/>
  <c r="E426" i="1"/>
  <c r="Q426" i="1" s="1"/>
  <c r="E427" i="1"/>
  <c r="Q427" i="1" s="1"/>
  <c r="E428" i="1"/>
  <c r="Q428" i="1" s="1"/>
  <c r="E429" i="1"/>
  <c r="Q429" i="1" s="1"/>
  <c r="E430" i="1"/>
  <c r="Q430" i="1" s="1"/>
  <c r="E431" i="1"/>
  <c r="Q431" i="1" s="1"/>
  <c r="E432" i="1"/>
  <c r="Q432" i="1" s="1"/>
  <c r="E433" i="1"/>
  <c r="Q433" i="1" s="1"/>
  <c r="E434" i="1"/>
  <c r="Q434" i="1" s="1"/>
  <c r="E435" i="1"/>
  <c r="Q435" i="1" s="1"/>
  <c r="E436" i="1"/>
  <c r="Q436" i="1" s="1"/>
  <c r="E437" i="1"/>
  <c r="Q437" i="1" s="1"/>
  <c r="E438" i="1"/>
  <c r="Q438" i="1" s="1"/>
  <c r="E439" i="1"/>
  <c r="Q439" i="1" s="1"/>
  <c r="E440" i="1"/>
  <c r="Q440" i="1" s="1"/>
  <c r="E441" i="1"/>
  <c r="Q441" i="1" s="1"/>
  <c r="E442" i="1"/>
  <c r="Q442" i="1" s="1"/>
  <c r="E443" i="1"/>
  <c r="Q443" i="1" s="1"/>
  <c r="E444" i="1"/>
  <c r="Q444" i="1" s="1"/>
  <c r="E445" i="1"/>
  <c r="Q445" i="1" s="1"/>
  <c r="E446" i="1"/>
  <c r="Q446" i="1" s="1"/>
  <c r="E447" i="1"/>
  <c r="Q447" i="1" s="1"/>
  <c r="E448" i="1"/>
  <c r="Q448" i="1" s="1"/>
  <c r="E449" i="1"/>
  <c r="Q449" i="1" s="1"/>
  <c r="E450" i="1"/>
  <c r="Q450" i="1" s="1"/>
  <c r="E451" i="1"/>
  <c r="Q451" i="1" s="1"/>
  <c r="E452" i="1"/>
  <c r="Q452" i="1" s="1"/>
  <c r="E453" i="1"/>
  <c r="Q453" i="1" s="1"/>
  <c r="E545" i="1"/>
  <c r="Q545" i="1" s="1"/>
  <c r="E546" i="1"/>
  <c r="Q546" i="1" s="1"/>
  <c r="E547" i="1"/>
  <c r="Q547" i="1" s="1"/>
  <c r="E548" i="1"/>
  <c r="Q548" i="1" s="1"/>
  <c r="E549" i="1"/>
  <c r="Q549" i="1" s="1"/>
  <c r="E550" i="1"/>
  <c r="Q550" i="1" s="1"/>
  <c r="E551" i="1"/>
  <c r="Q551" i="1" s="1"/>
  <c r="E552" i="1"/>
  <c r="Q552" i="1" s="1"/>
  <c r="E553" i="1"/>
  <c r="Q553" i="1" s="1"/>
  <c r="E555" i="1"/>
  <c r="Q555" i="1" s="1"/>
  <c r="E556" i="1"/>
  <c r="Q556" i="1" s="1"/>
  <c r="E557" i="1"/>
  <c r="Q557" i="1" s="1"/>
  <c r="E558" i="1"/>
  <c r="Q558" i="1" s="1"/>
  <c r="E559" i="1"/>
  <c r="Q559" i="1" s="1"/>
  <c r="E560" i="1"/>
  <c r="Q560" i="1" s="1"/>
  <c r="E561" i="1"/>
  <c r="Q561" i="1" s="1"/>
  <c r="E562" i="1"/>
  <c r="Q562" i="1" s="1"/>
  <c r="E563" i="1"/>
  <c r="Q563" i="1" s="1"/>
  <c r="E564" i="1"/>
  <c r="Q564" i="1" s="1"/>
  <c r="E565" i="1"/>
  <c r="Q565" i="1" s="1"/>
  <c r="E566" i="1"/>
  <c r="Q566" i="1" s="1"/>
  <c r="E567" i="1"/>
  <c r="Q567" i="1" s="1"/>
  <c r="E568" i="1"/>
  <c r="Q568" i="1" s="1"/>
  <c r="E569" i="1"/>
  <c r="Q569" i="1" s="1"/>
  <c r="E570" i="1"/>
  <c r="Q570" i="1" s="1"/>
  <c r="E571" i="1"/>
  <c r="Q571" i="1" s="1"/>
  <c r="E572" i="1"/>
  <c r="Q572" i="1" s="1"/>
  <c r="E516" i="1"/>
  <c r="Q516" i="1" s="1"/>
  <c r="U188" i="1" l="1"/>
  <c r="V188" i="1" s="1"/>
  <c r="V554" i="1"/>
  <c r="U448" i="1"/>
  <c r="V448" i="1" s="1"/>
  <c r="U430" i="1"/>
  <c r="V430" i="1" s="1"/>
  <c r="U274" i="1"/>
  <c r="V274" i="1" s="1"/>
  <c r="U180" i="1"/>
  <c r="V180" i="1" s="1"/>
  <c r="U426" i="1"/>
  <c r="V426" i="1" s="1"/>
  <c r="U173" i="1"/>
  <c r="V173" i="1" s="1"/>
  <c r="U278" i="1"/>
  <c r="V278" i="1" s="1"/>
  <c r="U196" i="1"/>
  <c r="V196" i="1" s="1"/>
  <c r="U136" i="1"/>
  <c r="V136" i="1" s="1"/>
  <c r="U137" i="1"/>
  <c r="V137" i="1" s="1"/>
  <c r="U168" i="1"/>
  <c r="V168" i="1" s="1"/>
  <c r="U169" i="1"/>
  <c r="V169" i="1" s="1"/>
  <c r="U153" i="1"/>
  <c r="V153" i="1" s="1"/>
  <c r="U450" i="1"/>
  <c r="V450" i="1" s="1"/>
  <c r="U216" i="1"/>
  <c r="V216" i="1" s="1"/>
  <c r="U133" i="1"/>
  <c r="V133" i="1" s="1"/>
  <c r="U149" i="1"/>
  <c r="V149" i="1" s="1"/>
  <c r="U422" i="1"/>
  <c r="V422" i="1" s="1"/>
  <c r="U200" i="1"/>
  <c r="V200" i="1" s="1"/>
  <c r="U212" i="1"/>
  <c r="V212" i="1" s="1"/>
  <c r="U434" i="1"/>
  <c r="V434" i="1" s="1"/>
  <c r="U446" i="1"/>
  <c r="V446" i="1" s="1"/>
  <c r="U183" i="1"/>
  <c r="V183" i="1" s="1"/>
  <c r="U184" i="1"/>
  <c r="V184" i="1" s="1"/>
  <c r="U160" i="1"/>
  <c r="V160" i="1" s="1"/>
  <c r="U161" i="1"/>
  <c r="V161" i="1" s="1"/>
  <c r="U156" i="1"/>
  <c r="V156" i="1" s="1"/>
  <c r="U177" i="1"/>
  <c r="V177" i="1" s="1"/>
  <c r="U269" i="1"/>
  <c r="V269" i="1" s="1"/>
  <c r="U270" i="1"/>
  <c r="V270" i="1" s="1"/>
  <c r="U281" i="1"/>
  <c r="V281" i="1" s="1"/>
  <c r="U140" i="1"/>
  <c r="V140" i="1" s="1"/>
  <c r="U144" i="1"/>
  <c r="V144" i="1" s="1"/>
  <c r="U145" i="1"/>
  <c r="V145" i="1" s="1"/>
  <c r="U437" i="1"/>
  <c r="V437" i="1" s="1"/>
  <c r="U203" i="1"/>
  <c r="V203" i="1" s="1"/>
  <c r="U265" i="1"/>
  <c r="V265" i="1" s="1"/>
  <c r="U191" i="1"/>
  <c r="V191" i="1" s="1"/>
  <c r="U192" i="1"/>
  <c r="V192" i="1" s="1"/>
  <c r="U165" i="1"/>
  <c r="V165" i="1" s="1"/>
  <c r="U164" i="1"/>
  <c r="V164" i="1" s="1"/>
  <c r="U207" i="1"/>
  <c r="V207" i="1" s="1"/>
  <c r="U208" i="1"/>
  <c r="V208" i="1" s="1"/>
  <c r="U219" i="1"/>
  <c r="V219" i="1" s="1"/>
  <c r="U128" i="1"/>
  <c r="V128" i="1" s="1"/>
  <c r="U129" i="1"/>
  <c r="V129" i="1" s="1"/>
  <c r="U442" i="1"/>
  <c r="V442" i="1" s="1"/>
</calcChain>
</file>

<file path=xl/sharedStrings.xml><?xml version="1.0" encoding="utf-8"?>
<sst xmlns="http://schemas.openxmlformats.org/spreadsheetml/2006/main" count="5291" uniqueCount="1030">
  <si>
    <t>Nome do Jogador</t>
  </si>
  <si>
    <t>Clube Atual</t>
  </si>
  <si>
    <t>Clube Real</t>
  </si>
  <si>
    <t>Nacionalidade</t>
  </si>
  <si>
    <t>Idade</t>
  </si>
  <si>
    <t>Data de Nascimento</t>
  </si>
  <si>
    <t>Início do contrato</t>
  </si>
  <si>
    <t>Final do contrato</t>
  </si>
  <si>
    <t>Salário</t>
  </si>
  <si>
    <t>Empresário</t>
  </si>
  <si>
    <t>Posição</t>
  </si>
  <si>
    <t>Lesões no ano</t>
  </si>
  <si>
    <t>Dias sem jogar por lesão</t>
  </si>
  <si>
    <t>Valor de Mercado Nacional</t>
  </si>
  <si>
    <t>Valor de Mercado Internacional</t>
  </si>
  <si>
    <t>Pé Dominante</t>
  </si>
  <si>
    <t>Ganho por Fornecedor</t>
  </si>
  <si>
    <t>Fornecedor</t>
  </si>
  <si>
    <t>Altura</t>
  </si>
  <si>
    <t>Data de hoje</t>
  </si>
  <si>
    <t>Dias para o final de contrato</t>
  </si>
  <si>
    <t>Contrato</t>
  </si>
  <si>
    <t>Alan Franco</t>
  </si>
  <si>
    <t>Alisson Euler de Freitas Castro</t>
  </si>
  <si>
    <t>Rafael Pires Monteiro</t>
  </si>
  <si>
    <t>Jandrei Chitolina Carniel</t>
  </si>
  <si>
    <t>Young Navarro Moraes</t>
  </si>
  <si>
    <t>Jamal Piaras Lewis</t>
  </si>
  <si>
    <t>Welington Damascena Santos</t>
  </si>
  <si>
    <t>Nahuel Adolfo Ferraresi Hernández</t>
  </si>
  <si>
    <t>Igor Vinícius de Souza</t>
  </si>
  <si>
    <t>Ruan Tressoldi Netto</t>
  </si>
  <si>
    <t>João Moreira Sanmartin Souza</t>
  </si>
  <si>
    <t>Patryck Lanza dos Reis</t>
  </si>
  <si>
    <t>Robert Abel Arboleda Escobar</t>
  </si>
  <si>
    <t>José Sabino Chagas Monteiro</t>
  </si>
  <si>
    <t>Matheus José Belém de Souza</t>
  </si>
  <si>
    <t>Marcio Rafael Ferreira de Souza</t>
  </si>
  <si>
    <t>Pablo Gonçalves Maia Fortunato</t>
  </si>
  <si>
    <t>Rodrigo Nestor Bertalia</t>
  </si>
  <si>
    <t>Giuliano Galoppo</t>
  </si>
  <si>
    <t>Santiago Andrés Longo</t>
  </si>
  <si>
    <t>Marcos Antônio Silva Santos</t>
  </si>
  <si>
    <t>Damián Josué Bobadilla Benítez</t>
  </si>
  <si>
    <t>Luiz Gustavo Dias</t>
  </si>
  <si>
    <t>Lucas Rodrigues Moura da Silva</t>
  </si>
  <si>
    <t>Wellington Soares da Silva</t>
  </si>
  <si>
    <t>Erick de Arruda Serafim</t>
  </si>
  <si>
    <t>Luciano da Rocha Neves</t>
  </si>
  <si>
    <t>Jonathan Calleri</t>
  </si>
  <si>
    <t>André Oliveira e Silva</t>
  </si>
  <si>
    <t>Ronaldo de Oliveira Strada</t>
  </si>
  <si>
    <t>Pedro Felipe de Faria Rangel</t>
  </si>
  <si>
    <t>Emerson Fabiano Kerber Júnior</t>
  </si>
  <si>
    <t>Leonardo de Medeiros Guimarães Rosa</t>
  </si>
  <si>
    <t>Pedro Henrique Pereira da Silva</t>
  </si>
  <si>
    <t>Alix Vinicius de Souza Sampaio</t>
  </si>
  <si>
    <t>Luiz Felipe do Nascimento dos Santos</t>
  </si>
  <si>
    <t>Philipe Sampaio Azevedo</t>
  </si>
  <si>
    <t>Adriano Martins da Fonseca</t>
  </si>
  <si>
    <t>Luiz Gustavo da Silva Alves</t>
  </si>
  <si>
    <t>Marcos Vinicius Carvalho dos Reis</t>
  </si>
  <si>
    <t>Yeferson Andrés Rodallega Paz</t>
  </si>
  <si>
    <t>Guilherme Kennedy Romão</t>
  </si>
  <si>
    <t>Bruno Nunes de Barros</t>
  </si>
  <si>
    <t>Rafael Germán Haller Piloni</t>
  </si>
  <si>
    <t>Magno José da Silva</t>
  </si>
  <si>
    <t>Roni Medeiros de Moura</t>
  </si>
  <si>
    <t>Gustavo Campanharo</t>
  </si>
  <si>
    <t>Rhaldney Norberto Simião Gomes</t>
  </si>
  <si>
    <t>Gonzalo Gastón Freitas Silva</t>
  </si>
  <si>
    <t>Gabriel Baralhas dos Santos</t>
  </si>
  <si>
    <t>Shaylon Kallyson Cardozo</t>
  </si>
  <si>
    <t>Ángelo Giovani Araos Llanos</t>
  </si>
  <si>
    <t>Jorge de Moura Xavier</t>
  </si>
  <si>
    <t>Luiz Fernando Moraes dos Santos</t>
  </si>
  <si>
    <t>Janderson Santos de Souza</t>
  </si>
  <si>
    <t>Matías Rafael Lacava González</t>
  </si>
  <si>
    <t>Alejo Cruz Techera</t>
  </si>
  <si>
    <t>Airton Moisés Santos Sousa</t>
  </si>
  <si>
    <t>Joel Nathaniel Campbell Samuels</t>
  </si>
  <si>
    <t>Emiliano Rodríguez Rosales</t>
  </si>
  <si>
    <t>Derek Freitas Ribeiro</t>
  </si>
  <si>
    <t>Jan Carlos Hurtado Anchico</t>
  </si>
  <si>
    <t>Everson Felipe Marques Pires</t>
  </si>
  <si>
    <t>Matheus Mendes Werneck de Oliveira</t>
  </si>
  <si>
    <t>Gabriel Delfim Ferreira</t>
  </si>
  <si>
    <t>Gabriel Átila Cardoso da Silva</t>
  </si>
  <si>
    <t>Lyanco Evangelista Silveira Neves Vojnović</t>
  </si>
  <si>
    <t>Júnior Osmar Ignácio Alonso Mujica</t>
  </si>
  <si>
    <t>Paolo Mauricio Lemos Merladett</t>
  </si>
  <si>
    <t>Bruno de Lara Fuchs</t>
  </si>
  <si>
    <t>Igor Rabello da Costa</t>
  </si>
  <si>
    <t>Rômulo Helberte Pereira Júnior</t>
  </si>
  <si>
    <t>Guilherme Antonio Arana Lopes</t>
  </si>
  <si>
    <t>Rubens Antonio Dias</t>
  </si>
  <si>
    <t>Renzo Saravia</t>
  </si>
  <si>
    <t>Vitor Gabriel Reis Guimarães</t>
  </si>
  <si>
    <t>Mariano Ferreira Filho</t>
  </si>
  <si>
    <t>Otávio Henrique Passos Santos</t>
  </si>
  <si>
    <t>Fausto Mariano Vera</t>
  </si>
  <si>
    <t>Rodrigo Andrés Battaglia</t>
  </si>
  <si>
    <t>Paulo Vitor Monteiro</t>
  </si>
  <si>
    <t>Alfredo Baquerizo Moreno</t>
  </si>
  <si>
    <t>Federico Matías Javier Zaracho</t>
  </si>
  <si>
    <t>Gustavo Henrique Furtado Scarpa</t>
  </si>
  <si>
    <t>Igor Silveira Gomes</t>
  </si>
  <si>
    <t>Paulo Henrique Sampaio Filho</t>
  </si>
  <si>
    <t>Bernard Anício Caldeira Duarte</t>
  </si>
  <si>
    <t>Givanildo Vieira de Souza</t>
  </si>
  <si>
    <t>Eduardo Jesús Vargas Rojas</t>
  </si>
  <si>
    <t>Deyverson Brum Silva Acosta</t>
  </si>
  <si>
    <t>Alan Kardec de Souza Pereira Junior</t>
  </si>
  <si>
    <t>Mycael Pontes Moreira</t>
  </si>
  <si>
    <t>Leonardo Matias Baiersdorf Linck</t>
  </si>
  <si>
    <t>Matheus Soares Rocha</t>
  </si>
  <si>
    <t>Kaique Rocha Lima</t>
  </si>
  <si>
    <t>Mateo Gamarra González</t>
  </si>
  <si>
    <t>Luan Patrick Wiedthauper</t>
  </si>
  <si>
    <t>Lucas Belezi Barbosa</t>
  </si>
  <si>
    <t>Thiago Heleno Henrique Ferreira</t>
  </si>
  <si>
    <t>Marcos Victor Ferreira da Silva</t>
  </si>
  <si>
    <t>Lucas Ángel Esquivel</t>
  </si>
  <si>
    <t>Fernando Augusto Pereira Bueno Júnior</t>
  </si>
  <si>
    <t>Leonardo Ezequiel Godoy</t>
  </si>
  <si>
    <t>Madson Ferreira dos Santos</t>
  </si>
  <si>
    <t>Erick Luis Conrado Carvalho</t>
  </si>
  <si>
    <t>Gabriel Girotto Franco</t>
  </si>
  <si>
    <t>Fernando Luiz Roza</t>
  </si>
  <si>
    <t>Christian Roberto Alves Cardoso</t>
  </si>
  <si>
    <t>Bruno Conceição Praxedes</t>
  </si>
  <si>
    <t>José Vitor Silva Neves</t>
  </si>
  <si>
    <t>Antonio Feliphe Costa Silva</t>
  </si>
  <si>
    <t>João Victor Machado Cruz</t>
  </si>
  <si>
    <t>Bruno Zapelli</t>
  </si>
  <si>
    <t>Maycon Vinícius Ferreira da Cruz</t>
  </si>
  <si>
    <t>Agustín Canobbio Graviz</t>
  </si>
  <si>
    <t>Tomás Esteban Cuello</t>
  </si>
  <si>
    <t>Lucas Gabriel Di Yorio</t>
  </si>
  <si>
    <t>Gonzalo Mathías Mastriani Borges</t>
  </si>
  <si>
    <t>Pablo Felipe Teixeira</t>
  </si>
  <si>
    <t>Julimar Silva Oliveira Junior</t>
  </si>
  <si>
    <t>Marcos Felipe de Freitas Monteiro</t>
  </si>
  <si>
    <t>Adriel Vasconcelos Ramos</t>
  </si>
  <si>
    <t>Danilo Fernandes Batista</t>
  </si>
  <si>
    <t>Gabriel Gonçalves de Souza</t>
  </si>
  <si>
    <t>Victor Hugo Soares dos Santos</t>
  </si>
  <si>
    <t>Gabriel Lhman Xavier</t>
  </si>
  <si>
    <t>Vitor Hugo Franchescoli de Souza</t>
  </si>
  <si>
    <t>David de Duarte Macedo</t>
  </si>
  <si>
    <t>Victor Leandro Cuesta</t>
  </si>
  <si>
    <t>Iago Amaral Borduchi</t>
  </si>
  <si>
    <t>Luciano Batista da Silva Junior</t>
  </si>
  <si>
    <t>Gilberto Moraes Júnior</t>
  </si>
  <si>
    <t>Santiago Arias Naranjo</t>
  </si>
  <si>
    <t>André Dhominique Queiroz Santiago da Silvae</t>
  </si>
  <si>
    <t>Neuciano de Jesus Gusmão</t>
  </si>
  <si>
    <t>Caio Alexandre Souza e Silva</t>
  </si>
  <si>
    <t>Nicolás Brian Acevedo Tabárez</t>
  </si>
  <si>
    <t>Júlio César de Rezende Miranda</t>
  </si>
  <si>
    <t>Jean Lucas de Souza Oliveira</t>
  </si>
  <si>
    <t>Carlos María de Pena Bonino</t>
  </si>
  <si>
    <t>Yago Felipe da Costa Rocha</t>
  </si>
  <si>
    <t>Cauly Oliveira Souza</t>
  </si>
  <si>
    <t>Everton Augusto de Barros Ribeiro</t>
  </si>
  <si>
    <t>Gabriel Teixeira Aragão</t>
  </si>
  <si>
    <t>Rafael Rogério da Silva</t>
  </si>
  <si>
    <t>Ademir da Silva Santos Junior</t>
  </si>
  <si>
    <t>Luciano Rodríguez Rosales</t>
  </si>
  <si>
    <t>Thaciano Mickael da Silva</t>
  </si>
  <si>
    <t>Everaldo Stum</t>
  </si>
  <si>
    <t>John Victor Maciel Furtado</t>
  </si>
  <si>
    <t>Roberto Júnior Fernández Torres</t>
  </si>
  <si>
    <t>Raul Jonas Steffens</t>
  </si>
  <si>
    <t>Adryelson Shawann Lima Silva</t>
  </si>
  <si>
    <t>Lucas Halter</t>
  </si>
  <si>
    <t>Alexander Nahuel Barboza Ullúa</t>
  </si>
  <si>
    <t>Pablo Nascimento Castro</t>
  </si>
  <si>
    <t>Bartolomeu Jacinto Quissanga</t>
  </si>
  <si>
    <t>Alex Nicolao Telles</t>
  </si>
  <si>
    <t>Hugo Gonçalves Ferreira Neto</t>
  </si>
  <si>
    <t>Luis Eduardo Soares da Silva</t>
  </si>
  <si>
    <t>Fernando Marçal de Oliveira</t>
  </si>
  <si>
    <t>Victor Alexander da Silva</t>
  </si>
  <si>
    <t>Mateo Ponte Costa</t>
  </si>
  <si>
    <t>Rafael Pereira da Silva</t>
  </si>
  <si>
    <t>Marlon Freitas</t>
  </si>
  <si>
    <t>Allan Marques Loureiro</t>
  </si>
  <si>
    <t>Gregore de Magalhães da Silva</t>
  </si>
  <si>
    <t>Danilo Barbosa da Silva</t>
  </si>
  <si>
    <t>Kauê Rodrigues Pessanha</t>
  </si>
  <si>
    <t>Danilo das Neves Pinheiro</t>
  </si>
  <si>
    <t>Thiago Ezequiel Almada</t>
  </si>
  <si>
    <t>Jefferson David Savarino Quintero</t>
  </si>
  <si>
    <t>Óscar David Romero Villamayor</t>
  </si>
  <si>
    <t>Carlos Eduardo de Oliveira Alves</t>
  </si>
  <si>
    <t>Matheus Martins Silva dos Santos</t>
  </si>
  <si>
    <t>Jefferson Ruan Pereira dos Santos</t>
  </si>
  <si>
    <t>Luiz Henrique André Rosa da Silva</t>
  </si>
  <si>
    <t>José Antonio dos Santos Júnior</t>
  </si>
  <si>
    <t>Carlos Alberto Gomes da Silva Filho</t>
  </si>
  <si>
    <t>Matheus Nascimento de Paula</t>
  </si>
  <si>
    <t>Igor Jesus Maciel da Cruz</t>
  </si>
  <si>
    <t>Francisco das Chagas Soares dos Santos</t>
  </si>
  <si>
    <t>Cleiton Schwengber</t>
  </si>
  <si>
    <t>Lucas Alexandre Galdino de Azevedo</t>
  </si>
  <si>
    <t>Pedro Henrique Ribeiro Gonçalves</t>
  </si>
  <si>
    <t>Douglas Mendes Moreira</t>
  </si>
  <si>
    <t>Lucas de Souza Cunha</t>
  </si>
  <si>
    <t>Eduardo Gonzaga Mendes Santos</t>
  </si>
  <si>
    <t>Sergio Stevan Palacios Zapata</t>
  </si>
  <si>
    <t>Luan Cândido de Almeida</t>
  </si>
  <si>
    <t>Luis Antônio da Rocha Júnior</t>
  </si>
  <si>
    <t>Guilherme Lopes de Almeida</t>
  </si>
  <si>
    <t>José Andrés Hurtado Cheme</t>
  </si>
  <si>
    <t>Nathan Gabriel de Souza Mendes</t>
  </si>
  <si>
    <t>Jadsom Meemyas de Oliveira da Silva</t>
  </si>
  <si>
    <t>Matheus Fernandes Siqueira</t>
  </si>
  <si>
    <t>Raul Lô Gonçalves</t>
  </si>
  <si>
    <t>Eric dos Santos Rodrigues</t>
  </si>
  <si>
    <t>Lucas Evangelista Santana de Oliveira</t>
  </si>
  <si>
    <t>Gustavo Ribeiro Neves</t>
  </si>
  <si>
    <t>João Roberto Rota Neto</t>
  </si>
  <si>
    <t>Jhonatan dos Santos Rosa</t>
  </si>
  <si>
    <t>Lincoln Henrique Oliveira dos Santos</t>
  </si>
  <si>
    <t>Victor Hugo Santana Carvalho</t>
  </si>
  <si>
    <t>Vitor Hugo Naum dos Santos</t>
  </si>
  <si>
    <t>Henry David Mosquera Sánchez</t>
  </si>
  <si>
    <t>Ivan Ricardo Neves Abreu Cavaleiro</t>
  </si>
  <si>
    <t>Vinicius Mendonça Pereira</t>
  </si>
  <si>
    <t>Kawê Ferreira Godoy Viana</t>
  </si>
  <si>
    <t>Thiago Nicolás Borbas Silva</t>
  </si>
  <si>
    <t>Eduardo Colcenti Antunes</t>
  </si>
  <si>
    <t>Gabriel Hamester Grando</t>
  </si>
  <si>
    <t>Anderson Silva da Paixão</t>
  </si>
  <si>
    <t>Cássio Ramos</t>
  </si>
  <si>
    <t>Leonardo de Aragão Carvalho</t>
  </si>
  <si>
    <t>João Marcelo Messias Ferreira</t>
  </si>
  <si>
    <t>José Ivaldo Almeida Silva</t>
  </si>
  <si>
    <t>Lucas Hernán Villalba</t>
  </si>
  <si>
    <t>Jonathan de Jesus Alves</t>
  </si>
  <si>
    <t>Weverton Silva de Andrade</t>
  </si>
  <si>
    <t>Pedro Henrique Franklim da Silva</t>
  </si>
  <si>
    <t>Marlon Rodrigues Xavier</t>
  </si>
  <si>
    <t>Kaiki Bruno da Silva</t>
  </si>
  <si>
    <t>William de Asevedo Furtado</t>
  </si>
  <si>
    <t>Wesley David de Oliveira Andrade</t>
  </si>
  <si>
    <t>Walace Souza Silva</t>
  </si>
  <si>
    <t>Lucas Daniel Romero</t>
  </si>
  <si>
    <t>Fabrizio José Peralta Ramírez</t>
  </si>
  <si>
    <t>Fernando Henrique do Nascimento Pereira</t>
  </si>
  <si>
    <t>Lucas Silva Borges</t>
  </si>
  <si>
    <t>Matheus Henrique De Souza</t>
  </si>
  <si>
    <t>Ramiro Moschen Benetti</t>
  </si>
  <si>
    <t>Vitor Hugo Amorim de Assis</t>
  </si>
  <si>
    <t>João Wellington Gadelha Melo de Oliveira</t>
  </si>
  <si>
    <t>Jhosefer Raphael Januário</t>
  </si>
  <si>
    <t>Álvaro Barreal</t>
  </si>
  <si>
    <t>Matheus Fellipe Costa Pereira</t>
  </si>
  <si>
    <t>Mateus da Silva Vital Assumpção</t>
  </si>
  <si>
    <t>Gabriel Veron Fonseca de Souza</t>
  </si>
  <si>
    <t>Kaio Jorge Pinto Ramos</t>
  </si>
  <si>
    <t>Juan Ignacio Dinenno de Cara</t>
  </si>
  <si>
    <t>Lautaro Ariel Díaz</t>
  </si>
  <si>
    <t>Rafael da Silva</t>
  </si>
  <si>
    <t>Walter Leandro Capeloza Artune</t>
  </si>
  <si>
    <t>Mateus Pasinato</t>
  </si>
  <si>
    <t>Alan Empereur</t>
  </si>
  <si>
    <t>Bruno Fabiano Alves Nascimento</t>
  </si>
  <si>
    <t>Marllon Gonçalves Jerônimo Borges</t>
  </si>
  <si>
    <t>Allyson Aires dos Santos</t>
  </si>
  <si>
    <t>Gabriel Knesowitsch</t>
  </si>
  <si>
    <t>Ramon Ramos Lima</t>
  </si>
  <si>
    <t>Juan Pablo Vilela Tavares</t>
  </si>
  <si>
    <t>Rikelme Hernandes Amorim Rocha</t>
  </si>
  <si>
    <t>Matheus Alexandre Anastácio de Souza</t>
  </si>
  <si>
    <t>Railan Reis Ferreira</t>
  </si>
  <si>
    <t>Lucas da Silva Izidoro</t>
  </si>
  <si>
    <t>Filipe Augusto Carvalho Souza</t>
  </si>
  <si>
    <t>Guilherme Miranda Madruga Gomes</t>
  </si>
  <si>
    <t>Fernando Pereira do Nascimento</t>
  </si>
  <si>
    <t>Denilson Alves Borges</t>
  </si>
  <si>
    <t>Lucas Fernandes da Silva</t>
  </si>
  <si>
    <t>Max Alves da Silva</t>
  </si>
  <si>
    <t>Clayson Henrique da Silva Vieira</t>
  </si>
  <si>
    <t>Eliel Chrystian Pereira Silva</t>
  </si>
  <si>
    <t>Gabryel Vinicius Araújo Freitas</t>
  </si>
  <si>
    <t>Gustavo Affonso Sauerbeck</t>
  </si>
  <si>
    <t>André Luis da Costa Alfredo</t>
  </si>
  <si>
    <t>Jonathan Renato Barbosa</t>
  </si>
  <si>
    <t>Isidro Miguel Pitta Saldívar</t>
  </si>
  <si>
    <t>Derik Gean Severino Lacerda</t>
  </si>
  <si>
    <t>Luciano Giménez Alanda</t>
  </si>
  <si>
    <t>Gustavo Henrique Alves Silva</t>
  </si>
  <si>
    <t>Matheus Henrique Teixeira</t>
  </si>
  <si>
    <t>Luiz Gustavo Almeida Pinto</t>
  </si>
  <si>
    <t>Alisson Machado dos Santos</t>
  </si>
  <si>
    <t>Tobias Pereira Figueiredo</t>
  </si>
  <si>
    <t>Wilker José Ángel Romero</t>
  </si>
  <si>
    <t>Rodrigo Fagundes de Freitas</t>
  </si>
  <si>
    <t>Walisson Moreira Farias Maia</t>
  </si>
  <si>
    <t>Miguel Ángel Trauco Saavedra</t>
  </si>
  <si>
    <t>Marcelo Hermes</t>
  </si>
  <si>
    <t>Luis Eduardo Marques dos Santos</t>
  </si>
  <si>
    <t>São Paulo FC</t>
  </si>
  <si>
    <t>Brasil</t>
  </si>
  <si>
    <t>Irlanda do Norte</t>
  </si>
  <si>
    <t>Venezuela</t>
  </si>
  <si>
    <t>US Sassuolo</t>
  </si>
  <si>
    <t>Equador</t>
  </si>
  <si>
    <t>CA Belgrano</t>
  </si>
  <si>
    <t>SS Lazio</t>
  </si>
  <si>
    <t>Paraguai</t>
  </si>
  <si>
    <t>Atlético Goianiense</t>
  </si>
  <si>
    <t>Fluminense FC</t>
  </si>
  <si>
    <t>SC Internacional</t>
  </si>
  <si>
    <t>Toninello FC</t>
  </si>
  <si>
    <t>Centro Oeste FC</t>
  </si>
  <si>
    <t>Colômbia</t>
  </si>
  <si>
    <t>Uruguai</t>
  </si>
  <si>
    <t>Costa Rica</t>
  </si>
  <si>
    <t>Atlético Mineiro</t>
  </si>
  <si>
    <t>Chile</t>
  </si>
  <si>
    <t>Athletico Paranaense</t>
  </si>
  <si>
    <t>EC Bahia</t>
  </si>
  <si>
    <t>Grêmio FBPA</t>
  </si>
  <si>
    <t>Botafogo FR</t>
  </si>
  <si>
    <t>Olympique Lyon</t>
  </si>
  <si>
    <t>RB Bragantino</t>
  </si>
  <si>
    <t>Palmeiras</t>
  </si>
  <si>
    <t>Fenerbahce</t>
  </si>
  <si>
    <t>Angola</t>
  </si>
  <si>
    <t>Cruzeiro EC</t>
  </si>
  <si>
    <t>Grêmio FBPA EC</t>
  </si>
  <si>
    <t>AA Argentinos Juniors</t>
  </si>
  <si>
    <t>FC Cincinnati</t>
  </si>
  <si>
    <t>Futebol Clube do Porto</t>
  </si>
  <si>
    <t>Cuiabá EC</t>
  </si>
  <si>
    <t>Ceará SC</t>
  </si>
  <si>
    <t>Sport Recife</t>
  </si>
  <si>
    <t>Olympiacos Pireu</t>
  </si>
  <si>
    <t>Shabab Al-Ahli Club</t>
  </si>
  <si>
    <t>Argentina</t>
  </si>
  <si>
    <t>Criciúma EC</t>
  </si>
  <si>
    <t>Perú</t>
  </si>
  <si>
    <t>CAA Stellar</t>
  </si>
  <si>
    <t>Un1que Football</t>
  </si>
  <si>
    <t>Fabio Mello Sports</t>
  </si>
  <si>
    <t>Sem empresario</t>
  </si>
  <si>
    <t>PLG</t>
  </si>
  <si>
    <t>MAURICIO CHIODIN</t>
  </si>
  <si>
    <t>Fabio Teste Sports</t>
  </si>
  <si>
    <t>Roc Nation Sports</t>
  </si>
  <si>
    <t>IMAGESPORT</t>
  </si>
  <si>
    <t>Velop4 Sports Ltd.</t>
  </si>
  <si>
    <t>R13 Fussball</t>
  </si>
  <si>
    <t>4ComM</t>
  </si>
  <si>
    <t>LINK SPORTS</t>
  </si>
  <si>
    <t>GG11</t>
  </si>
  <si>
    <t>Futbol Cracks</t>
  </si>
  <si>
    <t>IG TEAMSPLAYERS</t>
  </si>
  <si>
    <t>ROGON</t>
  </si>
  <si>
    <t>RCF SPORTS</t>
  </si>
  <si>
    <t>B.A.Quality Players</t>
  </si>
  <si>
    <t>Elenko Sports Ltda.</t>
  </si>
  <si>
    <t>7DS</t>
  </si>
  <si>
    <t>Onsoccer</t>
  </si>
  <si>
    <t xml:space="preserve">Sferico Sports </t>
  </si>
  <si>
    <t>NWS - Neis World</t>
  </si>
  <si>
    <t>XINEF</t>
  </si>
  <si>
    <t>PGB SPORTS</t>
  </si>
  <si>
    <t>MMC Sports</t>
  </si>
  <si>
    <t>CSM Sport</t>
  </si>
  <si>
    <t>Marcio Bittencourt</t>
  </si>
  <si>
    <t>Hattrick S&amp;E</t>
  </si>
  <si>
    <t>Sport Business</t>
  </si>
  <si>
    <t>Casa Soccer M9</t>
  </si>
  <si>
    <t>AGN Football</t>
  </si>
  <si>
    <t>Guadagno Sports</t>
  </si>
  <si>
    <t>Talents Sports</t>
  </si>
  <si>
    <t>AIM fútbol</t>
  </si>
  <si>
    <t>HeroEsporte</t>
  </si>
  <si>
    <t>FARIÑA</t>
  </si>
  <si>
    <t>ARF Assessoria</t>
  </si>
  <si>
    <t>B.C Football Agency</t>
  </si>
  <si>
    <t>RAB SPORTS - Dr. Rodolfo Baque</t>
  </si>
  <si>
    <t>REC Sports</t>
  </si>
  <si>
    <t>Onze Futebol</t>
  </si>
  <si>
    <t>MV SPORTS &amp; MKT</t>
  </si>
  <si>
    <t>Olho de Águia</t>
  </si>
  <si>
    <t>P&amp;P Sport Management S.A.M.</t>
  </si>
  <si>
    <t>REASON FOOTBALL INVESTMENTS</t>
  </si>
  <si>
    <t>Giovanni Godoy Sports</t>
  </si>
  <si>
    <t>Perez Ferrero</t>
  </si>
  <si>
    <t>Think Ball &amp; Sports Consulting</t>
  </si>
  <si>
    <t>GR2</t>
  </si>
  <si>
    <t>PRI Sports</t>
  </si>
  <si>
    <t>Kancha Agency</t>
  </si>
  <si>
    <t>Augustin Jimenez</t>
  </si>
  <si>
    <t>FFP Agency</t>
  </si>
  <si>
    <t>Bertolucci Sports</t>
  </si>
  <si>
    <t>Carlos Leite</t>
  </si>
  <si>
    <t>ADRIANO SPORTS</t>
  </si>
  <si>
    <t>Nuno Ferreira</t>
  </si>
  <si>
    <t>Vibra Futbol</t>
  </si>
  <si>
    <t>OF</t>
  </si>
  <si>
    <t>Master Talents</t>
  </si>
  <si>
    <t>F3 Sports</t>
  </si>
  <si>
    <t>BBM Sports</t>
  </si>
  <si>
    <t>EagleEye</t>
  </si>
  <si>
    <t>UJ Football Talent</t>
  </si>
  <si>
    <t>FJB Sports</t>
  </si>
  <si>
    <t>More than Sport GmbH</t>
  </si>
  <si>
    <t>Universal Twenty Two</t>
  </si>
  <si>
    <t>Elenko Sports Ltda</t>
  </si>
  <si>
    <t>FC3 Sports</t>
  </si>
  <si>
    <t>Branchini Associati S.p.A.</t>
  </si>
  <si>
    <t>NG Soccer</t>
  </si>
  <si>
    <t>NEXSTAR SPORTS</t>
  </si>
  <si>
    <t>Gol Brasil Sports Business</t>
  </si>
  <si>
    <t>Faro Sports</t>
  </si>
  <si>
    <t>Dodici</t>
  </si>
  <si>
    <t>Scoutfutbol</t>
  </si>
  <si>
    <t>ES TajAgency</t>
  </si>
  <si>
    <t>All In Sports</t>
  </si>
  <si>
    <t>Ferreira</t>
  </si>
  <si>
    <t>IMG International</t>
  </si>
  <si>
    <t>Agency Sports Consultoria &amp; Assessoria LTDA</t>
  </si>
  <si>
    <t>Promanager</t>
  </si>
  <si>
    <t>Brazil Soccer</t>
  </si>
  <si>
    <t>Score Futbol</t>
  </si>
  <si>
    <t>C.R</t>
  </si>
  <si>
    <t>Trust Football</t>
  </si>
  <si>
    <t>MFD Sports</t>
  </si>
  <si>
    <t>DV7 Management</t>
  </si>
  <si>
    <t>A10 PRO</t>
  </si>
  <si>
    <t>FGM</t>
  </si>
  <si>
    <t>LIFEPRO</t>
  </si>
  <si>
    <t>SSP Sport Strategy</t>
  </si>
  <si>
    <t>WIN GOL</t>
  </si>
  <si>
    <t>Brazil Football</t>
  </si>
  <si>
    <t>LEFT Sports</t>
  </si>
  <si>
    <t>MMR Sports Group</t>
  </si>
  <si>
    <t>MPX SPORTS</t>
  </si>
  <si>
    <t>Kiraht Sports</t>
  </si>
  <si>
    <t>Guti Football</t>
  </si>
  <si>
    <t>La Squadra Sports</t>
  </si>
  <si>
    <t>OLLER GROUP</t>
  </si>
  <si>
    <t>Gol International</t>
  </si>
  <si>
    <t>Velasco Sport Group</t>
  </si>
  <si>
    <t>Ulisses Santos - US11</t>
  </si>
  <si>
    <t>Equipo TMA</t>
  </si>
  <si>
    <t>SportsMaxi Management</t>
  </si>
  <si>
    <t>CONACTA INC</t>
  </si>
  <si>
    <t>MSB Sports</t>
  </si>
  <si>
    <t>E&amp;L Assessoria Esportiva</t>
  </si>
  <si>
    <t>JBSports</t>
  </si>
  <si>
    <t>VSR Assessoria</t>
  </si>
  <si>
    <t>PECBOL SPORTS</t>
  </si>
  <si>
    <t>Ruan Casemiro</t>
  </si>
  <si>
    <t>BLB SPORTS</t>
  </si>
  <si>
    <t>Unique Sports Group</t>
  </si>
  <si>
    <t>DK</t>
  </si>
  <si>
    <t>Gestifute</t>
  </si>
  <si>
    <t>OTB Sports</t>
  </si>
  <si>
    <t>Madeira Sports</t>
  </si>
  <si>
    <t>VTN IMAGE</t>
  </si>
  <si>
    <t>Karan Sports</t>
  </si>
  <si>
    <t>StarFactory Brasil</t>
  </si>
  <si>
    <t>Rafaela Pimenta</t>
  </si>
  <si>
    <t>Braun Sports</t>
  </si>
  <si>
    <t>SB SPORT</t>
  </si>
  <si>
    <t>UPPER AGENCY</t>
  </si>
  <si>
    <t>Flashforward, S.L.</t>
  </si>
  <si>
    <t>World Soccer Consult</t>
  </si>
  <si>
    <t>Dut's Mkt</t>
  </si>
  <si>
    <t>Attacantti Sports Marketing Ltd.</t>
  </si>
  <si>
    <t>Rivorelli Sports</t>
  </si>
  <si>
    <t>Jose Renato Martinez</t>
  </si>
  <si>
    <t>BMS</t>
  </si>
  <si>
    <t>LION SOCCER SPORTS</t>
  </si>
  <si>
    <t>Dodici Sports BR</t>
  </si>
  <si>
    <t>SportsInvest</t>
  </si>
  <si>
    <t>LCT SOCCER</t>
  </si>
  <si>
    <t>Global Soccer Brasil</t>
  </si>
  <si>
    <t>Proyecta Players</t>
  </si>
  <si>
    <t>AGON</t>
  </si>
  <si>
    <t>Nauru BR</t>
  </si>
  <si>
    <t>Proeleven S.A.</t>
  </si>
  <si>
    <t>AFV</t>
  </si>
  <si>
    <t>TL Sport</t>
  </si>
  <si>
    <t>MIRAGEDEPOR</t>
  </si>
  <si>
    <t>Zagueiro</t>
  </si>
  <si>
    <t>Direito</t>
  </si>
  <si>
    <t>Volante</t>
  </si>
  <si>
    <t>Goleiro</t>
  </si>
  <si>
    <t>Lateral Esquerdo</t>
  </si>
  <si>
    <t>Esquerdo</t>
  </si>
  <si>
    <t>Lateral Direito</t>
  </si>
  <si>
    <t>Meio Campo</t>
  </si>
  <si>
    <t>Atacante </t>
  </si>
  <si>
    <t>volante</t>
  </si>
  <si>
    <t>lateral esquerdo</t>
  </si>
  <si>
    <t>Adidas</t>
  </si>
  <si>
    <t>adidas</t>
  </si>
  <si>
    <t>Puma</t>
  </si>
  <si>
    <t>Nike</t>
  </si>
  <si>
    <t>Mizuno</t>
  </si>
  <si>
    <t>nike</t>
  </si>
  <si>
    <t>Yerson Candelo Miranda</t>
  </si>
  <si>
    <t>Sebastian Olivieri - RPM Foot</t>
  </si>
  <si>
    <t>Jonathan Francisco Lemos</t>
  </si>
  <si>
    <t>Claudio Coelho Salvático</t>
  </si>
  <si>
    <t>Patrick de Paula Carneiro</t>
  </si>
  <si>
    <t>Fama Sports</t>
  </si>
  <si>
    <t>Higor Matheus Meritão</t>
  </si>
  <si>
    <t>Ronald dos Santos Lopes</t>
  </si>
  <si>
    <t>Gustavo Bonatto Barreto</t>
  </si>
  <si>
    <t>Mateo Baltasar Barcia Fernández</t>
  </si>
  <si>
    <t>Newton Araujo da Costa Júnior</t>
  </si>
  <si>
    <t>Matheus Leonardo Sales Cardoso</t>
  </si>
  <si>
    <t>Eleven Soccer</t>
  </si>
  <si>
    <t>Marcos Gabriel do Nascimento</t>
  </si>
  <si>
    <t>Fellipe Mateus de Sena Araujo</t>
  </si>
  <si>
    <t>Pedro Rocha Neves</t>
  </si>
  <si>
    <t>HWS GRUPO</t>
  </si>
  <si>
    <t>Sérgio Antonio da Luz Junior</t>
  </si>
  <si>
    <t>Granja Sports</t>
  </si>
  <si>
    <t>Arthur Caíke do Nascimento Cruz</t>
  </si>
  <si>
    <t>Yannick Bolasie</t>
  </si>
  <si>
    <t>Inglaterra</t>
  </si>
  <si>
    <t>S.S.G</t>
  </si>
  <si>
    <t>Eduardo de Queiroz Melo</t>
  </si>
  <si>
    <t>Ferreira Sports</t>
  </si>
  <si>
    <t>Jhonata Robert Alves da Silva</t>
  </si>
  <si>
    <t>Allano Brendon de Souza Lima</t>
  </si>
  <si>
    <t>Best of You</t>
  </si>
  <si>
    <t>Renato Kayzer de Souza</t>
  </si>
  <si>
    <t>Bloom Soccer</t>
  </si>
  <si>
    <t>Felipe dos Reis Pereira Vizeu do Carmo</t>
  </si>
  <si>
    <t>Werik Silva Pinto</t>
  </si>
  <si>
    <t>Agustín Daniel Rossi</t>
  </si>
  <si>
    <t>CR Flamengo</t>
  </si>
  <si>
    <t>Matheus Cunha Queiroz</t>
  </si>
  <si>
    <t>Francisco Dyogo Bento Alves</t>
  </si>
  <si>
    <t>Leonardo Rech Ortiz</t>
  </si>
  <si>
    <t>Leonardo Pereira</t>
  </si>
  <si>
    <t>Fabrício Bruno Soares de Faria</t>
  </si>
  <si>
    <t>David Luiz Moreira Marinho</t>
  </si>
  <si>
    <t>Ayrton Lucas Dantas de Medeiros</t>
  </si>
  <si>
    <t>Matías Nicolás Viña Susperreguy</t>
  </si>
  <si>
    <t>Alex Sandro Lobo Silva</t>
  </si>
  <si>
    <t>Guillermo Varela Olivera</t>
  </si>
  <si>
    <t>Rickman Sports</t>
  </si>
  <si>
    <t>Wesley Vinícius França Lima</t>
  </si>
  <si>
    <t>MCL Sports</t>
  </si>
  <si>
    <t>Allan Rodrigues de Souza</t>
  </si>
  <si>
    <t>Erick Antonio Pulgar Farfán</t>
  </si>
  <si>
    <t>Gerson Santos da Silva</t>
  </si>
  <si>
    <t>Diego Nicolás de la Cruz Arcosa</t>
  </si>
  <si>
    <t>Paco Casal</t>
  </si>
  <si>
    <t>Carlos Jonás Alcaraz</t>
  </si>
  <si>
    <t>Rol Sports Management</t>
  </si>
  <si>
    <t>Giorgian Daniel de Arrascaeta Benedetti</t>
  </si>
  <si>
    <t>Daniel Fonseca</t>
  </si>
  <si>
    <t>Lorran Lucas Pereira de Sousa</t>
  </si>
  <si>
    <t>Everton Sousa Soares</t>
  </si>
  <si>
    <t>Michael Richard Delgado de Oliveira</t>
  </si>
  <si>
    <t>Bruno Henrique Pinto</t>
  </si>
  <si>
    <t>Luiz de Araújo Guimarães Neto</t>
  </si>
  <si>
    <t>Gonzalo Jordy Plata Jiménez</t>
  </si>
  <si>
    <t>AS1</t>
  </si>
  <si>
    <t>Gabriel Barbosa Almeida</t>
  </si>
  <si>
    <t>Pedro Guilherme Abreu dos Santos</t>
  </si>
  <si>
    <t>Carlos Moises de Lima</t>
  </si>
  <si>
    <t>Léonardo César Jardim</t>
  </si>
  <si>
    <t>CR Vasco da Gama</t>
  </si>
  <si>
    <t>Keiller da Silva Nunes</t>
  </si>
  <si>
    <t>Hedhe Halls Rocha da Silva</t>
  </si>
  <si>
    <t>Phillipe Gabriel Pires de Oliveira</t>
  </si>
  <si>
    <t>João Victor Da Silva Marcelino</t>
  </si>
  <si>
    <t>Leonardo Pinheiro da Conceição</t>
  </si>
  <si>
    <t>New Balance</t>
  </si>
  <si>
    <t>Manuel Vicente Capasso</t>
  </si>
  <si>
    <t>DG Football Agency</t>
  </si>
  <si>
    <t>Gary Alexis Medel Soto</t>
  </si>
  <si>
    <t>Maicon Pereira Roque</t>
  </si>
  <si>
    <t>Matheus dos Santos Miranda</t>
  </si>
  <si>
    <t>Marcio Bittencourt Sports</t>
  </si>
  <si>
    <t>Lucas Piton Crivellaro</t>
  </si>
  <si>
    <t>Gilvan Costa</t>
  </si>
  <si>
    <t>Victor Luís Chuab Zamblauskas</t>
  </si>
  <si>
    <t>José Luis Rodríguez Bebanz</t>
  </si>
  <si>
    <t>Paulo Henrique de Oliveira Alves</t>
  </si>
  <si>
    <t>Jair Rodrigues Júnior</t>
  </si>
  <si>
    <t>Prattes Group</t>
  </si>
  <si>
    <t>Josef de Souza Dias</t>
  </si>
  <si>
    <t>Juan Sebastián Sforza</t>
  </si>
  <si>
    <t>Primotempo</t>
  </si>
  <si>
    <t>José Gabriel dos Santos Silva</t>
  </si>
  <si>
    <t>Hugo Moura Arruda da Silva</t>
  </si>
  <si>
    <t>Pablo Ignacio Galdames Millán</t>
  </si>
  <si>
    <t>Fatto Gestão</t>
  </si>
  <si>
    <t>Maxime Dominguez</t>
  </si>
  <si>
    <t>Suiça</t>
  </si>
  <si>
    <t>VPA SPORTS INTERNATIONAL LTD</t>
  </si>
  <si>
    <t>João Pedro Murilo de Paula Morais</t>
  </si>
  <si>
    <t>Philippe Coutinho Correia</t>
  </si>
  <si>
    <t>Sports Invest UK ltd</t>
  </si>
  <si>
    <t>Dimitri Payet</t>
  </si>
  <si>
    <t>França</t>
  </si>
  <si>
    <t>J.Gomes Avocat</t>
  </si>
  <si>
    <t>Cauan Lucas Barros da Luz</t>
  </si>
  <si>
    <t>Jean David Meneses Villarroel</t>
  </si>
  <si>
    <t>Mundo Futuro Chile</t>
  </si>
  <si>
    <t>Emerson Rivaldo Rodríguez Valois</t>
  </si>
  <si>
    <t>ISC</t>
  </si>
  <si>
    <t>David Corrêa da Fonseca</t>
  </si>
  <si>
    <t>Adson Ferreira Soares</t>
  </si>
  <si>
    <t>Rosicley Pereira da Silva</t>
  </si>
  <si>
    <t>Alex Teixeira Santos</t>
  </si>
  <si>
    <t>Clayton Fernandes Silva</t>
  </si>
  <si>
    <t>Pablo Ezequiel Vegetti Pfaffen</t>
  </si>
  <si>
    <t>Aderbar Melo dos Santos Neto</t>
  </si>
  <si>
    <t>Fortaleza EC</t>
  </si>
  <si>
    <t>XFANS INTERNACIONAL</t>
  </si>
  <si>
    <t>João Ricardo Riedi</t>
  </si>
  <si>
    <t>Mauricio Kozlinski</t>
  </si>
  <si>
    <t>JF AGENCIAMENTO</t>
  </si>
  <si>
    <t>Audenirton Soares da Silva</t>
  </si>
  <si>
    <t>Marcelo da Conceição Benevenuto Malaquias</t>
  </si>
  <si>
    <t>Benjamín Kuščević Jaramillo</t>
  </si>
  <si>
    <t>Emanuel Brítez</t>
  </si>
  <si>
    <t>MSG Team</t>
  </si>
  <si>
    <t>Tomás Cardona</t>
  </si>
  <si>
    <t>SP</t>
  </si>
  <si>
    <t>Christian Chagas Tarouco</t>
  </si>
  <si>
    <t>Lipatin Sports</t>
  </si>
  <si>
    <t>Felipe Jonatan Rocha Andrade</t>
  </si>
  <si>
    <t>Bruno de Jesus Pacheco</t>
  </si>
  <si>
    <t>Gonzalo Daniel Escobar</t>
  </si>
  <si>
    <t>Clamber Global</t>
  </si>
  <si>
    <t>Guilherme de Jesus da Silva</t>
  </si>
  <si>
    <t>SOUZA GUTEMBERG</t>
  </si>
  <si>
    <t>Eros Nazareno Mancuso</t>
  </si>
  <si>
    <t>Interplayers</t>
  </si>
  <si>
    <t>José Welison da Silva</t>
  </si>
  <si>
    <t>Lucas Pacheco Affini</t>
  </si>
  <si>
    <t>Hércules Pereira do Nascimento</t>
  </si>
  <si>
    <t>Matheus Rossetto</t>
  </si>
  <si>
    <t>Pedro Augusto Borges da Costa</t>
  </si>
  <si>
    <t>ADM Esporte</t>
  </si>
  <si>
    <t>Calebe Goncalves Ferreira da Silva</t>
  </si>
  <si>
    <t>Tomás Pochettino</t>
  </si>
  <si>
    <t>Leandro Emmanuel Martínez</t>
  </si>
  <si>
    <t>Lucas Lima Linhares</t>
  </si>
  <si>
    <t>NEWROFOOT LDA</t>
  </si>
  <si>
    <t>Breno Henrique Vasconcelos Lopes</t>
  </si>
  <si>
    <t>Moisés Vieira da Veiga</t>
  </si>
  <si>
    <t>Mario Sergio Santos Costa</t>
  </si>
  <si>
    <t>Glaybson Yago Souza Lisboa</t>
  </si>
  <si>
    <t>Imanol Javier Machuca</t>
  </si>
  <si>
    <t>Chromo Agency</t>
  </si>
  <si>
    <t>Thiago Galhardo do Nascimento Rocha</t>
  </si>
  <si>
    <t>Forza Carreira Esportiva</t>
  </si>
  <si>
    <t>Juan Martín Lucero</t>
  </si>
  <si>
    <t>SC Corinthians</t>
  </si>
  <si>
    <t>Hugo de Souza Nogueira</t>
  </si>
  <si>
    <t>Matheus Planelles Donelli</t>
  </si>
  <si>
    <t>Carlos Miguel dos Santos Pereira</t>
  </si>
  <si>
    <t>WoF (Gilmar Veloz)</t>
  </si>
  <si>
    <t>Félix Eduardo Torres Caicedo</t>
  </si>
  <si>
    <t>André Ramalho Silva</t>
  </si>
  <si>
    <t>Raul Gustavo Pereira Bicalho</t>
  </si>
  <si>
    <t>D2PSports</t>
  </si>
  <si>
    <t>Gustavo Henrique Vernes</t>
  </si>
  <si>
    <t>João Victor Andrade Caetano</t>
  </si>
  <si>
    <t>Carlos de Menezes Júnior</t>
  </si>
  <si>
    <t>Diego José Palacios Espinoza</t>
  </si>
  <si>
    <t>BLSPORTS</t>
  </si>
  <si>
    <t>Matheus Lima Beltrão Oliveira</t>
  </si>
  <si>
    <t>Goldsports</t>
  </si>
  <si>
    <t>Hugo Ferreira de Farias</t>
  </si>
  <si>
    <t>Matheus França Silva</t>
  </si>
  <si>
    <t>Fagner Conserva Lemos</t>
  </si>
  <si>
    <t>Leonardo Mana Hernandes</t>
  </si>
  <si>
    <t>GROUZ</t>
  </si>
  <si>
    <t>José Andrés Martínez Torres</t>
  </si>
  <si>
    <t>T&amp;C</t>
  </si>
  <si>
    <t>Raniele Almeida Melo</t>
  </si>
  <si>
    <t>Ryan Gustavo de Lima</t>
  </si>
  <si>
    <t>Maycon de Andrade Barberan</t>
  </si>
  <si>
    <t>Shakhtar Donetsk</t>
  </si>
  <si>
    <t>André Martín Carrillo Díaz</t>
  </si>
  <si>
    <t>Alex Paulo Menezes Santana</t>
  </si>
  <si>
    <t>ENGELMAN SPORTS LTD</t>
  </si>
  <si>
    <t>José Paulo Bezerra Maciel Júnior</t>
  </si>
  <si>
    <t>Charles Rigon Matos</t>
  </si>
  <si>
    <t>Ruan de Oliveira Ferreira</t>
  </si>
  <si>
    <t>Kuniy &amp; W. Sports Marketing Ltda.</t>
  </si>
  <si>
    <t>Breno de Souza Bidon</t>
  </si>
  <si>
    <t>Igor Caique Coronado</t>
  </si>
  <si>
    <t>Victrix</t>
  </si>
  <si>
    <t>Rodrigo Garro</t>
  </si>
  <si>
    <t>Talles Magno Bacelar Martins</t>
  </si>
  <si>
    <t>Ángel Rodrigo Romero Villamayor</t>
  </si>
  <si>
    <t>Pedro Henrique Konzen Medina da Silva</t>
  </si>
  <si>
    <t>Memphis Depay</t>
  </si>
  <si>
    <t>Holanda</t>
  </si>
  <si>
    <t>TEAM DEPAY</t>
  </si>
  <si>
    <t>Pedro Raul Garay da Silva</t>
  </si>
  <si>
    <t>Héctor José Hernández Marrero</t>
  </si>
  <si>
    <t>Espanha</t>
  </si>
  <si>
    <t>Manuel García Quilón</t>
  </si>
  <si>
    <t>Yuri Alberto Monteiro da Silva</t>
  </si>
  <si>
    <t>Weverton Pereira da Silva</t>
  </si>
  <si>
    <t>SE Palmeiras</t>
  </si>
  <si>
    <t>Marcelo Lomba do Nascimento</t>
  </si>
  <si>
    <t>Gustavo Raúl Gómez Portillo</t>
  </si>
  <si>
    <t>Murilo Cerqueira Paim</t>
  </si>
  <si>
    <t>Luan Garcia Teixeira</t>
  </si>
  <si>
    <t>Vitor de Oliveira Nunes dos Reis</t>
  </si>
  <si>
    <t>Kaiky Marques Naves</t>
  </si>
  <si>
    <t>Websoccer do Brasil Ltda</t>
  </si>
  <si>
    <t>Joaquín Piquerez Moreira</t>
  </si>
  <si>
    <t>Caio Fernando de Oliveira</t>
  </si>
  <si>
    <t>Vanderlan Barbosa da Silva</t>
  </si>
  <si>
    <t>Agustín Giay</t>
  </si>
  <si>
    <t>Impacto Deportivo</t>
  </si>
  <si>
    <t>Marcos Luis Rocha Aquino</t>
  </si>
  <si>
    <t>Mayke Rocha de Oliveira</t>
  </si>
  <si>
    <t>Gustavo Garcia dos Santos</t>
  </si>
  <si>
    <t>Energy Sports</t>
  </si>
  <si>
    <t>Aníbal Ismael Moreno</t>
  </si>
  <si>
    <t>Fábio Silva de Freitas</t>
  </si>
  <si>
    <t>Gabriel Vinicius Menino</t>
  </si>
  <si>
    <t>José Rafael Vivian</t>
  </si>
  <si>
    <t>Richard Ríos Montoya</t>
  </si>
  <si>
    <t>Cala Sports</t>
  </si>
  <si>
    <t>Raphael Cavalcante Veiga</t>
  </si>
  <si>
    <t>Mauricio Magalhães Prado</t>
  </si>
  <si>
    <t>Rômulo Azevedo Simão</t>
  </si>
  <si>
    <t>RBC Talent Group</t>
  </si>
  <si>
    <t>José Manuel Alberto López</t>
  </si>
  <si>
    <t>Ronielson da Silva Barbosa</t>
  </si>
  <si>
    <t>Umbro</t>
  </si>
  <si>
    <t>Estêvão Willian Almeida de Oliveira Gonçalves</t>
  </si>
  <si>
    <t>Bruno Rafael Rodrigues do Nascimento</t>
  </si>
  <si>
    <t>Lázaro Vinicius Marques</t>
  </si>
  <si>
    <t>Eduardo Pereira Rodrigues</t>
  </si>
  <si>
    <t>Felipe Anderson Pereira Gomes</t>
  </si>
  <si>
    <t>Conquest</t>
  </si>
  <si>
    <t>Sergio Ramón Rochet Álvarez</t>
  </si>
  <si>
    <t>VIDA 11</t>
  </si>
  <si>
    <t>Ivan Quaresma da Silva</t>
  </si>
  <si>
    <t>Fabrício Barros Santana</t>
  </si>
  <si>
    <t>RN Sports</t>
  </si>
  <si>
    <t>Anthoni Spier Souza</t>
  </si>
  <si>
    <t>NWS Esportes Ltda.</t>
  </si>
  <si>
    <t>Vitor Eduardo da Silva Matos</t>
  </si>
  <si>
    <t>Agustín Maximiliano Rogel Paita</t>
  </si>
  <si>
    <t>Ariel Krasouski</t>
  </si>
  <si>
    <t>Robert Renan Alves Barbosa</t>
  </si>
  <si>
    <t>Clayton Sampaio Pereira</t>
  </si>
  <si>
    <t>Gabriel Iván Mercado</t>
  </si>
  <si>
    <t>Hernan Berman</t>
  </si>
  <si>
    <t>Igor Gomes Silva</t>
  </si>
  <si>
    <t>Alexandro Ezequiel Bernabei</t>
  </si>
  <si>
    <t>Renê Rodrigues Martins</t>
  </si>
  <si>
    <t>Thauan Lara dos Santos</t>
  </si>
  <si>
    <t>Fabricio Bustos</t>
  </si>
  <si>
    <t>Hugo Mallo Novegil</t>
  </si>
  <si>
    <t>#LEADERS</t>
  </si>
  <si>
    <t>Nathan Santos de Araújo</t>
  </si>
  <si>
    <t>Braian Nahuel Aguirre</t>
  </si>
  <si>
    <t>D-M-S</t>
  </si>
  <si>
    <t>Thiago Maia Alencar</t>
  </si>
  <si>
    <t>Fernando Francisco Reges</t>
  </si>
  <si>
    <t>Bruno Gomes da Silva Clevelário</t>
  </si>
  <si>
    <t>Rômulo Zanre Zwarg</t>
  </si>
  <si>
    <t>Matheus Dos Santos Dias</t>
  </si>
  <si>
    <t>Charles Mariano Aránguiz Sandoval</t>
  </si>
  <si>
    <t>Bruno Henrique Corsini</t>
  </si>
  <si>
    <t>Gustavo Prado Alves</t>
  </si>
  <si>
    <t>Uplay Sports &amp; Promotion</t>
  </si>
  <si>
    <t>Alan Patrick Lourenço</t>
  </si>
  <si>
    <t>Hyoran Kaue Dalmoro</t>
  </si>
  <si>
    <t>Wanderson Maciel Sousa Campos</t>
  </si>
  <si>
    <t>Wesley Ribeiro Silva</t>
  </si>
  <si>
    <t>Bruno Vinícius Souza Ramos</t>
  </si>
  <si>
    <t>Rafael Santos Borré Maury</t>
  </si>
  <si>
    <t>Wasserman</t>
  </si>
  <si>
    <t>Enner Remberto Valencia Lastra</t>
  </si>
  <si>
    <t>Gonzalo Vargas - SportCapital EC</t>
  </si>
  <si>
    <t>Luiz Adriano Souza da Silva</t>
  </si>
  <si>
    <t>Lucas Nicolás Alario</t>
  </si>
  <si>
    <t>Pedro Aldave Ortuzar</t>
  </si>
  <si>
    <t>Lucca Holanda Sampaio Tavares</t>
  </si>
  <si>
    <t>Muriel Gustavo Becker</t>
  </si>
  <si>
    <t>EC Vitória</t>
  </si>
  <si>
    <t>Maycon Cleiton de Paula Azevedo</t>
  </si>
  <si>
    <t>Lucas Willians Assis Arcanjo</t>
  </si>
  <si>
    <t>GOLDEN7</t>
  </si>
  <si>
    <t>Wagner Leonardo Calvelo de Souza</t>
  </si>
  <si>
    <t>Hueglo dos Santos Neris</t>
  </si>
  <si>
    <t>Cleidson Andrade de Souza Silva</t>
  </si>
  <si>
    <t>EUROPE SPORTS GROUP</t>
  </si>
  <si>
    <t>Bruno Uvini Bortolança</t>
  </si>
  <si>
    <t>Cristian Eduardo Zapata Valencia</t>
  </si>
  <si>
    <t>Lucas Eduardo Ribeiro de Souza</t>
  </si>
  <si>
    <t>Lucas Esteves Souza</t>
  </si>
  <si>
    <t>Felipe Vieira Augusto</t>
  </si>
  <si>
    <t>F10 Assessoria Esportiva</t>
  </si>
  <si>
    <t>Itaro Patric Cardoso Calmon</t>
  </si>
  <si>
    <t>José Carlos Cracco Neto</t>
  </si>
  <si>
    <t>Raúl Alejandro Cáceres Bogado</t>
  </si>
  <si>
    <t>Willean Bernardo Willemen</t>
  </si>
  <si>
    <t>Luan Vinicius da Silva Santos</t>
  </si>
  <si>
    <t>Caio Vinicius da Conceição</t>
  </si>
  <si>
    <t>Ricardo Ryller Ribeiro Lino Silva</t>
  </si>
  <si>
    <t>BLB Sports</t>
  </si>
  <si>
    <t>José Rodrigo Andrade Ramos</t>
  </si>
  <si>
    <t>Willian Osmar de Oliveira Silva</t>
  </si>
  <si>
    <t>Leonardo Naldi de Matos</t>
  </si>
  <si>
    <t>Luiz Filipe da Rosa Machado</t>
  </si>
  <si>
    <t>Eduardo Marcelo Rodrigues Nunes</t>
  </si>
  <si>
    <t>Jean Mota Oliveira de Sousa</t>
  </si>
  <si>
    <t>Eduardo da Silva Albuquerque</t>
  </si>
  <si>
    <t>Antoniu's Assessoria</t>
  </si>
  <si>
    <t>Dionísio Pereira de Souza Neto</t>
  </si>
  <si>
    <t>Footway Group</t>
  </si>
  <si>
    <t>Matheus Martins Fogaça de Paulo</t>
  </si>
  <si>
    <t>Everaldo Silva do Nascimento</t>
  </si>
  <si>
    <t>José Hugo Sousa dos Santos</t>
  </si>
  <si>
    <t>P9 Sports</t>
  </si>
  <si>
    <t>Mateus Gonçalves Martins</t>
  </si>
  <si>
    <t>Gustavo Henric da Silva</t>
  </si>
  <si>
    <t>Carlos Eduardo Ferreira de Souza</t>
  </si>
  <si>
    <t>Eryc Leonel Castillo Arroyo</t>
  </si>
  <si>
    <t>Alerrandro Barra Mansa Realino de Souza</t>
  </si>
  <si>
    <t>Leonardo Gamalho de Souza</t>
  </si>
  <si>
    <t>Caio Henrique da Silva Dantas</t>
  </si>
  <si>
    <t>Art Sports Management</t>
  </si>
  <si>
    <t>Felipe Alves Raymundo</t>
  </si>
  <si>
    <t>FMAGE SA</t>
  </si>
  <si>
    <t>Sferico Sports Management</t>
  </si>
  <si>
    <t>Marlon Santos da Silva Barbosa</t>
  </si>
  <si>
    <t>Los Angeles FC</t>
  </si>
  <si>
    <t>Thiago Emiliano da Silva</t>
  </si>
  <si>
    <t>Paulo Tonietto</t>
  </si>
  <si>
    <t>Antônio Carlos Cunha Capocasali Junior</t>
  </si>
  <si>
    <t>Ignácio da Silva Oliveira</t>
  </si>
  <si>
    <t>Pessoa's Sports</t>
  </si>
  <si>
    <t>Thiago dos Santos</t>
  </si>
  <si>
    <t>Manoel Messias Silva Carvalho</t>
  </si>
  <si>
    <t>David Braz de Oliveira Filho</t>
  </si>
  <si>
    <t>Marcelo Vieira da Silva Júnior</t>
  </si>
  <si>
    <t>Gabriel Rafael Fuentes Gómez</t>
  </si>
  <si>
    <t>ABADSPORT</t>
  </si>
  <si>
    <t>Diogo Barbosa Mendanha</t>
  </si>
  <si>
    <t>Claudio Rodrigues Gomes</t>
  </si>
  <si>
    <t>Lucas Felipe Calegari</t>
  </si>
  <si>
    <t>Samuel Xavier Brito</t>
  </si>
  <si>
    <t>MB / Marcelo Bastos</t>
  </si>
  <si>
    <t>André Trindade da Costa Neto</t>
  </si>
  <si>
    <t>Gabriel Appelt Pires</t>
  </si>
  <si>
    <t>Yves Lohan Sports</t>
  </si>
  <si>
    <t>Felipe Melo de Carvalho</t>
  </si>
  <si>
    <t>Matheus Martinelli Lima</t>
  </si>
  <si>
    <t>Renato Soares de Oliveira Augusto</t>
  </si>
  <si>
    <t>Gustavo Nonato Santana</t>
  </si>
  <si>
    <t>Miguel David Terans Pérez</t>
  </si>
  <si>
    <t>UruFutbol</t>
  </si>
  <si>
    <t>Daniel Sampaio Simões</t>
  </si>
  <si>
    <t>Vinícius Moreira de Lima</t>
  </si>
  <si>
    <t>Paulo Henrique Chagas de Lima</t>
  </si>
  <si>
    <t>FWD Team</t>
  </si>
  <si>
    <t>Marcos da Silva França</t>
  </si>
  <si>
    <t>Alexandre de Jesus Jeruzalem Junior</t>
  </si>
  <si>
    <t>Marcus Vinicius Oliveira Alencar</t>
  </si>
  <si>
    <t>FC Arsenal</t>
  </si>
  <si>
    <t>Jhon Adolfo Arias Andrade</t>
  </si>
  <si>
    <t>Yony Alexander González Copete</t>
  </si>
  <si>
    <t>JP PACHON SPORTS</t>
  </si>
  <si>
    <t>Kevin Steven Serna Jaramillo</t>
  </si>
  <si>
    <t>John Kennedy Batista de Souza</t>
  </si>
  <si>
    <t>Germán Ezequiel Cano</t>
  </si>
  <si>
    <t>VELSPORT1</t>
  </si>
  <si>
    <t>Leanderson da Silva Genésio</t>
  </si>
  <si>
    <t>Brenno Oliveira Fraga Costa</t>
  </si>
  <si>
    <t>Agustín Federico Marchesín</t>
  </si>
  <si>
    <t>Livesoccer</t>
  </si>
  <si>
    <t>Rafael Cabral Barbosa</t>
  </si>
  <si>
    <t>Pedro Tonon Geromel</t>
  </si>
  <si>
    <t>Natã Felipe de Amorim Santos</t>
  </si>
  <si>
    <t>Rodrigo Ely</t>
  </si>
  <si>
    <t>Rodrigo Caio Coquette Russo</t>
  </si>
  <si>
    <t>Jemerson de Jesus Nascimento</t>
  </si>
  <si>
    <t>Walter Kannemann</t>
  </si>
  <si>
    <t>zagueiro</t>
  </si>
  <si>
    <t>Reinaldo Manoel da Silva</t>
  </si>
  <si>
    <t>Mayksilvan da Silva Ferreira</t>
  </si>
  <si>
    <t>Fábio Pereira da Silva</t>
  </si>
  <si>
    <t>João Pedro Maturano dos Santos</t>
  </si>
  <si>
    <t>Mathías Adalberto Villasanti Rolón</t>
  </si>
  <si>
    <t>Douglas Moreira Fagundes</t>
  </si>
  <si>
    <t>Ronald Cardoso Falkoski</t>
  </si>
  <si>
    <t>Eduardo Santos Queiroz</t>
  </si>
  <si>
    <t>Edenilson Andrade dos Santos</t>
  </si>
  <si>
    <t>Felipe Ignacio Carballo Ares</t>
  </si>
  <si>
    <t>Joaquín Peluffo</t>
  </si>
  <si>
    <t>João Pedro Vilardi Pinto</t>
  </si>
  <si>
    <t>Franco Cristaldo</t>
  </si>
  <si>
    <t>Nathan Allan de Souza</t>
  </si>
  <si>
    <t>Miguel Ángel Monsalve González</t>
  </si>
  <si>
    <t>Goal Management SAS</t>
  </si>
  <si>
    <t>Yeferson Julio Soteldo Martínez</t>
  </si>
  <si>
    <t>Santos FC</t>
  </si>
  <si>
    <t>Agencia Secasports</t>
  </si>
  <si>
    <t>Alexander Ernesto Aravena Guzmán</t>
  </si>
  <si>
    <t>Cristian David Pavón</t>
  </si>
  <si>
    <t>Fernando Hidalgo</t>
  </si>
  <si>
    <t>Everton Galdino Moreira</t>
  </si>
  <si>
    <t>João Pedro Geraldino dos Santos Galvão</t>
  </si>
  <si>
    <t>Piccioli&amp;Lombardi</t>
  </si>
  <si>
    <t>Martin Christensen Braithwaite</t>
  </si>
  <si>
    <t>Dinamarca</t>
  </si>
  <si>
    <t>Dirk Hebel</t>
  </si>
  <si>
    <t>Douglas Matías Arezo Martínez</t>
  </si>
  <si>
    <t>Diego da Silva Costa</t>
  </si>
  <si>
    <t>Gabriel Vasconcelos Ferreira</t>
  </si>
  <si>
    <t>EC Juventude</t>
  </si>
  <si>
    <t>19treze</t>
  </si>
  <si>
    <t>Mateus Eduardo Claus</t>
  </si>
  <si>
    <t>Renan dos Santos</t>
  </si>
  <si>
    <t>Pedro Bez Fontana Corrêa</t>
  </si>
  <si>
    <t>Glory FA</t>
  </si>
  <si>
    <t>Lucas de Freitas Molarinho Chagas</t>
  </si>
  <si>
    <t>Danilo Boza Júnior</t>
  </si>
  <si>
    <t>Yan da Cruz Souto</t>
  </si>
  <si>
    <t>LL SPORTS</t>
  </si>
  <si>
    <t>Romércio Pereira da Conceição</t>
  </si>
  <si>
    <t>José Marcos Alves Luis</t>
  </si>
  <si>
    <t>Prime Agencia</t>
  </si>
  <si>
    <t>Rodrigo Eduardo da Silva</t>
  </si>
  <si>
    <t>Jefferson Junio Antonio da Silva</t>
  </si>
  <si>
    <t>Alan Luciano Rushel</t>
  </si>
  <si>
    <t>João Lucas de Almeida Carvalho</t>
  </si>
  <si>
    <t>Ewerthon Diógenes da Silva</t>
  </si>
  <si>
    <t xml:space="preserve">Clube </t>
  </si>
  <si>
    <t>Estado</t>
  </si>
  <si>
    <t>Receita de TV</t>
  </si>
  <si>
    <t>Torcida no estado</t>
  </si>
  <si>
    <t>Socio torcedor</t>
  </si>
  <si>
    <t>SC</t>
  </si>
  <si>
    <t>CE</t>
  </si>
  <si>
    <t>MG</t>
  </si>
  <si>
    <t>GO</t>
  </si>
  <si>
    <t>PA</t>
  </si>
  <si>
    <t>BA</t>
  </si>
  <si>
    <t>RJ</t>
  </si>
  <si>
    <t>RS</t>
  </si>
  <si>
    <t>MS</t>
  </si>
  <si>
    <t>Capacidade do estadio</t>
  </si>
  <si>
    <t>Preco medio dos ingressos do estadio</t>
  </si>
  <si>
    <t>Salario dos jogadores mensal</t>
  </si>
  <si>
    <t>Salario dos jogadores anual</t>
  </si>
  <si>
    <t>Gabriel de Souza Inocêncio</t>
  </si>
  <si>
    <t>Luís Felipe Oyama</t>
  </si>
  <si>
    <t>Japão</t>
  </si>
  <si>
    <t>Pay Per View</t>
  </si>
  <si>
    <t>Estadio mandante</t>
  </si>
  <si>
    <t>Ronaldo da Silva Souza</t>
  </si>
  <si>
    <t>Caíque de Jesus Gonçalves</t>
  </si>
  <si>
    <t>Kelvi Chiesa Gomes</t>
  </si>
  <si>
    <t>Luis Felipe Rebelo Costa</t>
  </si>
  <si>
    <t>Effes Group</t>
  </si>
  <si>
    <t>Daniel Nascimento Peixoto dos Santos</t>
  </si>
  <si>
    <t>Matheus de Vargas</t>
  </si>
  <si>
    <t>Guilherme Castilho Carvalho</t>
  </si>
  <si>
    <t>Jádson Alves dos Santos</t>
  </si>
  <si>
    <t>Luiz Gustavo da Silva Machado Duarte</t>
  </si>
  <si>
    <t>Lucio Araújo</t>
  </si>
  <si>
    <t>Carlos Eduardo de Souza Vieira</t>
  </si>
  <si>
    <t>T.P.O</t>
  </si>
  <si>
    <t>Thiago Beserra dos Santos</t>
  </si>
  <si>
    <t>Jean Carlos Vicente</t>
  </si>
  <si>
    <t>Anderson Luis de Carvalho</t>
  </si>
  <si>
    <t xml:space="preserve">Estádio Alfredo Jaconi  </t>
  </si>
  <si>
    <t>David da Hora da Conceição</t>
  </si>
  <si>
    <t>Gabriel Pereira Taliari</t>
  </si>
  <si>
    <t>Elite-Sports-Management</t>
  </si>
  <si>
    <t>Edson Guilherme Mendes dos Santos</t>
  </si>
  <si>
    <t>media de publico por jogo no estadio</t>
  </si>
  <si>
    <t xml:space="preserve">Média de renda por jogo	</t>
  </si>
  <si>
    <t>Renda total no estadio</t>
  </si>
  <si>
    <t>Ronie Edmundo Carrillo Morales</t>
  </si>
  <si>
    <t>Erick Samuel Correa Farias</t>
  </si>
  <si>
    <t>ETMINAN BRAZIL</t>
  </si>
  <si>
    <t>Gilberto Oliveira Souza Júnior</t>
  </si>
  <si>
    <t>Diego Gonçalves</t>
  </si>
  <si>
    <t>Rildo Gonçalves de Amorim Filho</t>
  </si>
  <si>
    <t>Lucas Henrique Barbosa</t>
  </si>
  <si>
    <t>Kleiton Pego Duarte</t>
  </si>
  <si>
    <t>Allianz Parque</t>
  </si>
  <si>
    <t xml:space="preserve">Estádio Jornalista Mário Filho </t>
  </si>
  <si>
    <t xml:space="preserve">Neo Química Arena </t>
  </si>
  <si>
    <t>Estádio Olímpico Nilton Santos</t>
  </si>
  <si>
    <t>Arena MRV</t>
  </si>
  <si>
    <t>Estádio Beira-Rio</t>
  </si>
  <si>
    <t>MorumBIS</t>
  </si>
  <si>
    <t xml:space="preserve">Estádio São Januário </t>
  </si>
  <si>
    <t xml:space="preserve">Estádio Governador Magalhães Pinto </t>
  </si>
  <si>
    <t>Arena Fonte Nova</t>
  </si>
  <si>
    <t xml:space="preserve">Estádio Governador Plácido Castelo </t>
  </si>
  <si>
    <t xml:space="preserve">Estádio Nabi Abi Chedid </t>
  </si>
  <si>
    <t>Estádio Antonio Accioly</t>
  </si>
  <si>
    <t xml:space="preserve">Arena Pantanal </t>
  </si>
  <si>
    <t xml:space="preserve">Estádio Heriberto Hülse </t>
  </si>
  <si>
    <t>Estádio Manoel Barradas</t>
  </si>
  <si>
    <t>Arena do Grêmio</t>
  </si>
  <si>
    <t>Ligga Arena</t>
  </si>
  <si>
    <t>Rodrigo Huendra Almeida Mendonça</t>
  </si>
  <si>
    <t>William Gomes Carvalho Santos</t>
  </si>
  <si>
    <t>Igor Matheus Liziero Pereira</t>
  </si>
  <si>
    <t>Aldemir dos Santos Ferreira</t>
  </si>
  <si>
    <t>PabloBueno360</t>
  </si>
  <si>
    <t>Gasto semestral</t>
  </si>
  <si>
    <t>Gasto anual (Com 13 salario)</t>
  </si>
  <si>
    <t>Projeção de Venda de Atletas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</si>
</sst>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Arial"/>
      <family val="2"/>
    </font>
    <font>
      <sz val="11"/>
      <color rgb="FF333333"/>
      <name val="Var(--tm-primary-font, 'Source"/>
    </font>
    <font>
      <sz val="11"/>
      <color rgb="FF333333"/>
      <name val="Source Sans Pro"/>
      <family val="2"/>
    </font>
    <font>
      <u/>
      <sz val="11"/>
      <name val="Aptos Narrow"/>
      <family val="2"/>
      <scheme val="minor"/>
    </font>
    <font>
      <sz val="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2" borderId="2" xfId="0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14" fontId="4" fillId="0" borderId="0" xfId="0" applyNumberFormat="1" applyFont="1"/>
    <xf numFmtId="0" fontId="4" fillId="0" borderId="4" xfId="0" applyFont="1" applyBorder="1"/>
    <xf numFmtId="14" fontId="8" fillId="0" borderId="0" xfId="0" applyNumberFormat="1" applyFont="1"/>
    <xf numFmtId="2" fontId="4" fillId="0" borderId="0" xfId="1" applyNumberFormat="1" applyFont="1"/>
    <xf numFmtId="14" fontId="8" fillId="0" borderId="0" xfId="0" applyNumberFormat="1" applyFont="1" applyAlignment="1">
      <alignment wrapText="1"/>
    </xf>
    <xf numFmtId="1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14" fontId="9" fillId="0" borderId="0" xfId="0" applyNumberFormat="1" applyFont="1" applyAlignment="1">
      <alignment vertical="center" readingOrder="1"/>
    </xf>
    <xf numFmtId="2" fontId="0" fillId="0" borderId="0" xfId="0" applyNumberFormat="1"/>
    <xf numFmtId="0" fontId="4" fillId="0" borderId="0" xfId="2" applyFont="1"/>
    <xf numFmtId="2" fontId="4" fillId="0" borderId="0" xfId="1" applyNumberFormat="1" applyFont="1" applyAlignment="1">
      <alignment wrapText="1"/>
    </xf>
    <xf numFmtId="14" fontId="0" fillId="0" borderId="0" xfId="0" applyNumberFormat="1"/>
    <xf numFmtId="0" fontId="4" fillId="0" borderId="2" xfId="0" applyFont="1" applyBorder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2" fontId="4" fillId="0" borderId="0" xfId="0" applyNumberFormat="1" applyFont="1"/>
    <xf numFmtId="14" fontId="0" fillId="0" borderId="0" xfId="0" quotePrefix="1" applyNumberFormat="1"/>
    <xf numFmtId="0" fontId="4" fillId="0" borderId="0" xfId="2" applyFont="1" applyAlignment="1">
      <alignment wrapText="1"/>
    </xf>
    <xf numFmtId="14" fontId="5" fillId="0" borderId="0" xfId="0" applyNumberFormat="1" applyFont="1"/>
    <xf numFmtId="14" fontId="10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2" xfId="0" applyBorder="1"/>
    <xf numFmtId="164" fontId="4" fillId="0" borderId="0" xfId="1" applyNumberFormat="1" applyFont="1"/>
    <xf numFmtId="165" fontId="3" fillId="2" borderId="0" xfId="0" applyNumberFormat="1" applyFont="1" applyFill="1" applyAlignment="1">
      <alignment vertical="center"/>
    </xf>
    <xf numFmtId="165" fontId="0" fillId="0" borderId="0" xfId="0" applyNumberFormat="1"/>
    <xf numFmtId="14" fontId="11" fillId="0" borderId="0" xfId="0" applyNumberFormat="1" applyFont="1"/>
    <xf numFmtId="165" fontId="12" fillId="0" borderId="0" xfId="0" applyNumberFormat="1" applyFont="1" applyAlignment="1">
      <alignment vertical="center"/>
    </xf>
    <xf numFmtId="44" fontId="0" fillId="0" borderId="0" xfId="1" applyFont="1"/>
    <xf numFmtId="0" fontId="0" fillId="0" borderId="0" xfId="1" applyNumberFormat="1" applyFont="1"/>
  </cellXfs>
  <cellStyles count="3">
    <cellStyle name="Hiperlink" xfId="2" builtinId="8"/>
    <cellStyle name="Moeda" xfId="1" builtinId="4"/>
    <cellStyle name="Normal" xfId="0" builtinId="0"/>
  </cellStyles>
  <dxfs count="10">
    <dxf>
      <font>
        <color auto="1"/>
      </font>
      <fill>
        <patternFill>
          <fgColor rgb="FFFFFF00"/>
        </patternFill>
      </fill>
      <border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0"/>
        </patternFill>
      </fill>
      <protection locked="1" hidden="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B602B0-916F-4545-B7AC-AA8B14F5E568}" name="Tabela3" displayName="Tabela3" ref="A1:O21" insertRowShift="1" totalsRowShown="0">
  <autoFilter ref="A1:O21" xr:uid="{E5B602B0-916F-4545-B7AC-AA8B14F5E568}"/>
  <sortState xmlns:xlrd2="http://schemas.microsoft.com/office/spreadsheetml/2017/richdata2" ref="A2:N21">
    <sortCondition descending="1" ref="C1:C21"/>
  </sortState>
  <tableColumns count="15">
    <tableColumn id="1" xr3:uid="{98A9E0AF-8D78-4DC4-A425-7276D9F71601}" name="Clube " dataDxfId="4"/>
    <tableColumn id="2" xr3:uid="{0EBC1817-7B8C-48ED-BED7-466AF8A2E16D}" name="Estado"/>
    <tableColumn id="13" xr3:uid="{40DFCC5F-6633-4A75-BF90-BEF00C6B479A}" name="Pay Per View"/>
    <tableColumn id="3" xr3:uid="{B001DDC1-0351-4E77-B27F-A04D24B4952B}" name="Receita de TV"/>
    <tableColumn id="5" xr3:uid="{168D9525-C45D-4184-A472-F1640B1CDF51}" name="Salario dos jogadores mensal" dataDxfId="9">
      <calculatedColumnFormula>SUMIF(Atletas!B:B, A2, Atletas!I:I)</calculatedColumnFormula>
    </tableColumn>
    <tableColumn id="12" xr3:uid="{16862B3F-0D4B-44A9-845D-61BA5F8AD485}" name="Salario dos jogadores anual" dataDxfId="8">
      <calculatedColumnFormula>SUMIF(Atletas!B:B, A2, Atletas!X:X)</calculatedColumnFormula>
    </tableColumn>
    <tableColumn id="6" xr3:uid="{4C6398C7-E4BD-4DB8-9920-B59F1860671E}" name="Torcida no estado"/>
    <tableColumn id="11" xr3:uid="{C22DBB82-4BD7-4760-A155-D4F468E5311C}" name="Estadio mandante"/>
    <tableColumn id="8" xr3:uid="{40155D17-E81C-4467-A9E8-D00FA933F981}" name="Socio torcedor"/>
    <tableColumn id="9" xr3:uid="{E4A52B96-B300-4654-8311-29C9E0F3C76B}" name="Capacidade do estadio" dataDxfId="7" dataCellStyle="Moeda"/>
    <tableColumn id="10" xr3:uid="{ED237BA4-A568-4C26-A66D-AEA09784F062}" name="Preco medio dos ingressos do estadio" dataCellStyle="Moeda"/>
    <tableColumn id="15" xr3:uid="{F616808C-72F8-4F54-9010-39FC2149F76B}" name="media de publico por jogo no estadio"/>
    <tableColumn id="16" xr3:uid="{36BEBBB2-5CCB-4D7C-AD03-DF1C2071CD54}" name="Média de renda por jogo_x0009_" dataDxfId="6"/>
    <tableColumn id="17" xr3:uid="{2B4C4057-6DFB-4EDB-810F-FA47AE886A06}" name="Renda total no estadio" dataDxfId="5"/>
    <tableColumn id="4" xr3:uid="{2AAACB2A-41BD-4F11-8298-7A36B4F5B9B8}" name="Projeção de Venda de Atletas" dataCellStyle="Moed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ransfermarkt.com.br/onsoccer-international-gestao-de-carreiras-desportivas-sa/beraterfirma/berater/66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32C5-F8D9-4EF9-ABB0-0FABF11BD32B}">
  <dimension ref="A1:X650"/>
  <sheetViews>
    <sheetView zoomScale="115" zoomScaleNormal="115" workbookViewId="0">
      <selection activeCell="I2" sqref="I2"/>
    </sheetView>
  </sheetViews>
  <sheetFormatPr defaultColWidth="25.59765625" defaultRowHeight="13.8"/>
  <cols>
    <col min="1" max="1" width="38.3984375" bestFit="1" customWidth="1"/>
    <col min="4" max="4" width="13.8984375" customWidth="1"/>
    <col min="5" max="5" width="6.59765625" customWidth="1"/>
    <col min="6" max="6" width="15" customWidth="1"/>
    <col min="7" max="7" width="16.796875" customWidth="1"/>
    <col min="8" max="8" width="14.296875" customWidth="1"/>
    <col min="9" max="9" width="18.09765625" customWidth="1"/>
    <col min="10" max="10" width="37.796875" bestFit="1" customWidth="1"/>
    <col min="16" max="16" width="12" customWidth="1"/>
    <col min="17" max="17" width="11.69921875" customWidth="1"/>
    <col min="18" max="18" width="12.8984375" customWidth="1"/>
    <col min="23" max="23" width="25.59765625" style="34"/>
    <col min="24" max="24" width="16.69921875" style="34" bestFit="1" customWidth="1"/>
  </cols>
  <sheetData>
    <row r="1" spans="1:24" ht="14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  <c r="W1" s="33" t="s">
        <v>1027</v>
      </c>
      <c r="X1" s="33" t="s">
        <v>1028</v>
      </c>
    </row>
    <row r="2" spans="1:24">
      <c r="A2" s="6" t="s">
        <v>113</v>
      </c>
      <c r="B2" t="s">
        <v>323</v>
      </c>
      <c r="C2" s="6" t="s">
        <v>323</v>
      </c>
      <c r="D2" s="6" t="s">
        <v>305</v>
      </c>
      <c r="E2">
        <f t="shared" ref="E2:E65" ca="1" si="0">DATEDIF(F2,TODAY(),"Y")</f>
        <v>22</v>
      </c>
      <c r="F2" s="11">
        <v>38058</v>
      </c>
      <c r="G2" s="9">
        <v>44927</v>
      </c>
      <c r="H2" s="9">
        <v>46477</v>
      </c>
      <c r="I2" s="12">
        <v>185000</v>
      </c>
      <c r="J2" s="6" t="s">
        <v>406</v>
      </c>
      <c r="K2" s="6" t="s">
        <v>495</v>
      </c>
      <c r="L2" s="6">
        <v>0</v>
      </c>
      <c r="M2" s="6">
        <v>0</v>
      </c>
      <c r="N2" s="12">
        <v>3000000</v>
      </c>
      <c r="O2" s="24">
        <f t="shared" ref="O2:O65" si="1">N2*3.5</f>
        <v>10500000</v>
      </c>
      <c r="P2" s="6" t="s">
        <v>497</v>
      </c>
      <c r="Q2">
        <f t="shared" ref="Q2:Q65" ca="1" si="2">IF(E2&gt;30,100000,IF(E2&gt;24,120000,IF(E2&gt;16,160000)))</f>
        <v>160000</v>
      </c>
      <c r="R2" s="6" t="s">
        <v>506</v>
      </c>
      <c r="S2" s="6">
        <v>1.91</v>
      </c>
      <c r="T2" s="9">
        <f t="shared" ref="T2:T65" ca="1" si="3">TODAY()</f>
        <v>46296</v>
      </c>
      <c r="U2" s="6">
        <f t="shared" ref="U2:U33" ca="1" si="4">_xlfn.DAYS(H2,T2)</f>
        <v>181</v>
      </c>
      <c r="V2" s="6" t="str">
        <f t="shared" ref="V2:V65" ca="1" si="5">IF(U2&lt;180, "Pre contrato","Com Contrato em vigor")</f>
        <v>Com Contrato em vigor</v>
      </c>
      <c r="W2" s="34">
        <f>I2*6</f>
        <v>1110000</v>
      </c>
      <c r="X2" s="34">
        <f>I2*13</f>
        <v>2405000</v>
      </c>
    </row>
    <row r="3" spans="1:24">
      <c r="A3" s="6" t="s">
        <v>114</v>
      </c>
      <c r="B3" t="s">
        <v>323</v>
      </c>
      <c r="C3" s="6" t="s">
        <v>323</v>
      </c>
      <c r="D3" s="6" t="s">
        <v>305</v>
      </c>
      <c r="E3">
        <f t="shared" ca="1" si="0"/>
        <v>25</v>
      </c>
      <c r="F3" s="13">
        <v>36953</v>
      </c>
      <c r="G3" s="9">
        <v>44927</v>
      </c>
      <c r="H3" s="9">
        <v>46387</v>
      </c>
      <c r="I3" s="12">
        <v>116000</v>
      </c>
      <c r="J3" s="15" t="s">
        <v>355</v>
      </c>
      <c r="K3" s="6" t="s">
        <v>495</v>
      </c>
      <c r="L3" s="6">
        <v>0</v>
      </c>
      <c r="M3" s="6">
        <v>0</v>
      </c>
      <c r="N3" s="12">
        <v>1000000</v>
      </c>
      <c r="O3" s="24">
        <f t="shared" si="1"/>
        <v>3500000</v>
      </c>
      <c r="P3" s="6" t="s">
        <v>493</v>
      </c>
      <c r="Q3">
        <f t="shared" ca="1" si="2"/>
        <v>120000</v>
      </c>
      <c r="R3" s="6" t="s">
        <v>506</v>
      </c>
      <c r="S3" s="6">
        <v>1.94</v>
      </c>
      <c r="T3" s="9">
        <f t="shared" ca="1" si="3"/>
        <v>46296</v>
      </c>
      <c r="U3" s="6">
        <f t="shared" ca="1" si="4"/>
        <v>91</v>
      </c>
      <c r="V3" s="6" t="str">
        <f t="shared" ca="1" si="5"/>
        <v>Pre contrato</v>
      </c>
      <c r="W3" s="34">
        <f t="shared" ref="W3:W66" si="6">I3*6</f>
        <v>696000</v>
      </c>
      <c r="X3" s="34">
        <f t="shared" ref="X3:X66" si="7">I3*13</f>
        <v>1508000</v>
      </c>
    </row>
    <row r="4" spans="1:24">
      <c r="A4" s="6" t="s">
        <v>115</v>
      </c>
      <c r="B4" t="s">
        <v>323</v>
      </c>
      <c r="C4" s="6" t="s">
        <v>323</v>
      </c>
      <c r="D4" s="6" t="s">
        <v>305</v>
      </c>
      <c r="E4">
        <f t="shared" ca="1" si="0"/>
        <v>21</v>
      </c>
      <c r="F4" s="11">
        <v>38362</v>
      </c>
      <c r="G4" s="9">
        <v>45478</v>
      </c>
      <c r="H4" s="9">
        <v>45657</v>
      </c>
      <c r="I4" s="12">
        <v>73000</v>
      </c>
      <c r="J4" s="6" t="s">
        <v>407</v>
      </c>
      <c r="K4" s="6" t="s">
        <v>495</v>
      </c>
      <c r="L4" s="6">
        <v>0</v>
      </c>
      <c r="M4" s="6">
        <v>0</v>
      </c>
      <c r="N4" s="12">
        <v>90000</v>
      </c>
      <c r="O4" s="24">
        <f t="shared" si="1"/>
        <v>315000</v>
      </c>
      <c r="P4" s="6" t="s">
        <v>497</v>
      </c>
      <c r="Q4">
        <f t="shared" ca="1" si="2"/>
        <v>160000</v>
      </c>
      <c r="R4" s="6" t="s">
        <v>503</v>
      </c>
      <c r="S4" s="6">
        <v>1.9</v>
      </c>
      <c r="T4" s="9">
        <f t="shared" ca="1" si="3"/>
        <v>46296</v>
      </c>
      <c r="U4" s="6">
        <f t="shared" ca="1" si="4"/>
        <v>-639</v>
      </c>
      <c r="V4" s="6" t="str">
        <f t="shared" ca="1" si="5"/>
        <v>Pre contrato</v>
      </c>
      <c r="W4" s="34">
        <f t="shared" si="6"/>
        <v>438000</v>
      </c>
      <c r="X4" s="34">
        <f t="shared" si="7"/>
        <v>949000</v>
      </c>
    </row>
    <row r="5" spans="1:24">
      <c r="A5" s="6" t="s">
        <v>116</v>
      </c>
      <c r="B5" t="s">
        <v>323</v>
      </c>
      <c r="C5" s="6" t="s">
        <v>323</v>
      </c>
      <c r="D5" s="6" t="s">
        <v>305</v>
      </c>
      <c r="E5">
        <f t="shared" ca="1" si="0"/>
        <v>25</v>
      </c>
      <c r="F5" s="11">
        <v>36950</v>
      </c>
      <c r="G5" s="9">
        <v>44946</v>
      </c>
      <c r="H5" s="9">
        <v>46387</v>
      </c>
      <c r="I5" s="12">
        <v>120000</v>
      </c>
      <c r="J5" s="6" t="s">
        <v>408</v>
      </c>
      <c r="K5" s="6" t="s">
        <v>492</v>
      </c>
      <c r="L5" s="6">
        <v>0</v>
      </c>
      <c r="M5" s="6">
        <v>0</v>
      </c>
      <c r="N5" s="12">
        <v>1000000</v>
      </c>
      <c r="O5" s="24">
        <f t="shared" si="1"/>
        <v>3500000</v>
      </c>
      <c r="P5" s="6" t="s">
        <v>493</v>
      </c>
      <c r="Q5">
        <f t="shared" ca="1" si="2"/>
        <v>120000</v>
      </c>
      <c r="R5" s="6" t="s">
        <v>505</v>
      </c>
      <c r="S5" s="6">
        <v>1.95</v>
      </c>
      <c r="T5" s="9">
        <f t="shared" ca="1" si="3"/>
        <v>46296</v>
      </c>
      <c r="U5" s="6">
        <f t="shared" ca="1" si="4"/>
        <v>91</v>
      </c>
      <c r="V5" s="6" t="str">
        <f t="shared" ca="1" si="5"/>
        <v>Pre contrato</v>
      </c>
      <c r="W5" s="34">
        <f t="shared" si="6"/>
        <v>720000</v>
      </c>
      <c r="X5" s="34">
        <f t="shared" si="7"/>
        <v>1560000</v>
      </c>
    </row>
    <row r="6" spans="1:24">
      <c r="A6" s="6" t="s">
        <v>117</v>
      </c>
      <c r="B6" t="s">
        <v>323</v>
      </c>
      <c r="C6" s="6" t="s">
        <v>323</v>
      </c>
      <c r="D6" s="6" t="s">
        <v>312</v>
      </c>
      <c r="E6">
        <f t="shared" ca="1" si="0"/>
        <v>25</v>
      </c>
      <c r="F6" s="11">
        <v>36819</v>
      </c>
      <c r="G6" s="9">
        <v>45292</v>
      </c>
      <c r="H6" s="9">
        <v>46752</v>
      </c>
      <c r="I6" s="12">
        <v>220000</v>
      </c>
      <c r="J6" s="6" t="s">
        <v>409</v>
      </c>
      <c r="K6" s="6" t="s">
        <v>492</v>
      </c>
      <c r="L6" s="6">
        <v>1</v>
      </c>
      <c r="M6" s="6">
        <v>12</v>
      </c>
      <c r="N6" s="12">
        <v>3000000</v>
      </c>
      <c r="O6" s="24">
        <f t="shared" si="1"/>
        <v>10500000</v>
      </c>
      <c r="P6" s="6" t="s">
        <v>497</v>
      </c>
      <c r="Q6">
        <f t="shared" ca="1" si="2"/>
        <v>120000</v>
      </c>
      <c r="R6" s="6" t="s">
        <v>503</v>
      </c>
      <c r="S6" s="6">
        <v>1.83</v>
      </c>
      <c r="T6" s="9">
        <f t="shared" ca="1" si="3"/>
        <v>46296</v>
      </c>
      <c r="U6" s="6">
        <f t="shared" ca="1" si="4"/>
        <v>456</v>
      </c>
      <c r="V6" s="6" t="str">
        <f t="shared" ca="1" si="5"/>
        <v>Com Contrato em vigor</v>
      </c>
      <c r="W6" s="34">
        <f t="shared" si="6"/>
        <v>1320000</v>
      </c>
      <c r="X6" s="34">
        <f t="shared" si="7"/>
        <v>2860000</v>
      </c>
    </row>
    <row r="7" spans="1:24">
      <c r="A7" s="6" t="s">
        <v>118</v>
      </c>
      <c r="B7" t="s">
        <v>323</v>
      </c>
      <c r="C7" s="6" t="s">
        <v>323</v>
      </c>
      <c r="D7" s="6" t="s">
        <v>305</v>
      </c>
      <c r="E7">
        <f t="shared" ca="1" si="0"/>
        <v>24</v>
      </c>
      <c r="F7" s="11">
        <v>37276</v>
      </c>
      <c r="G7" s="9">
        <v>44587</v>
      </c>
      <c r="H7" s="9">
        <v>45657</v>
      </c>
      <c r="I7" s="12">
        <v>140000</v>
      </c>
      <c r="J7" s="6" t="s">
        <v>410</v>
      </c>
      <c r="K7" s="6" t="s">
        <v>492</v>
      </c>
      <c r="L7" s="6">
        <v>1</v>
      </c>
      <c r="M7" s="6">
        <v>90</v>
      </c>
      <c r="N7" s="12">
        <v>780000</v>
      </c>
      <c r="O7" s="24">
        <f t="shared" si="1"/>
        <v>2730000</v>
      </c>
      <c r="P7" s="6" t="s">
        <v>493</v>
      </c>
      <c r="Q7">
        <f t="shared" ca="1" si="2"/>
        <v>160000</v>
      </c>
      <c r="R7" s="6" t="s">
        <v>506</v>
      </c>
      <c r="S7" s="6">
        <v>1.9</v>
      </c>
      <c r="T7" s="9">
        <f t="shared" ca="1" si="3"/>
        <v>46296</v>
      </c>
      <c r="U7" s="6">
        <f t="shared" ca="1" si="4"/>
        <v>-639</v>
      </c>
      <c r="V7" s="6" t="str">
        <f t="shared" ca="1" si="5"/>
        <v>Pre contrato</v>
      </c>
      <c r="W7" s="34">
        <f t="shared" si="6"/>
        <v>840000</v>
      </c>
      <c r="X7" s="34">
        <f t="shared" si="7"/>
        <v>1820000</v>
      </c>
    </row>
    <row r="8" spans="1:24">
      <c r="A8" s="6" t="s">
        <v>119</v>
      </c>
      <c r="B8" t="s">
        <v>323</v>
      </c>
      <c r="C8" s="6" t="s">
        <v>323</v>
      </c>
      <c r="D8" s="6" t="s">
        <v>305</v>
      </c>
      <c r="E8">
        <f t="shared" ca="1" si="0"/>
        <v>23</v>
      </c>
      <c r="F8" s="11">
        <v>37749</v>
      </c>
      <c r="G8" s="9">
        <v>45292</v>
      </c>
      <c r="H8" s="9">
        <v>46022</v>
      </c>
      <c r="I8" s="12">
        <v>150000</v>
      </c>
      <c r="J8" s="6" t="s">
        <v>411</v>
      </c>
      <c r="K8" s="6" t="s">
        <v>492</v>
      </c>
      <c r="L8" s="6">
        <v>2</v>
      </c>
      <c r="M8" s="6">
        <v>53</v>
      </c>
      <c r="N8" s="12">
        <v>1240000</v>
      </c>
      <c r="O8" s="24">
        <f t="shared" si="1"/>
        <v>4340000</v>
      </c>
      <c r="P8" s="6" t="s">
        <v>493</v>
      </c>
      <c r="Q8">
        <f t="shared" ca="1" si="2"/>
        <v>160000</v>
      </c>
      <c r="R8" s="6" t="s">
        <v>503</v>
      </c>
      <c r="S8" s="6">
        <v>1.86</v>
      </c>
      <c r="T8" s="9">
        <f t="shared" ca="1" si="3"/>
        <v>46296</v>
      </c>
      <c r="U8" s="6">
        <f t="shared" ca="1" si="4"/>
        <v>-274</v>
      </c>
      <c r="V8" s="6" t="str">
        <f t="shared" ca="1" si="5"/>
        <v>Pre contrato</v>
      </c>
      <c r="W8" s="34">
        <f t="shared" si="6"/>
        <v>900000</v>
      </c>
      <c r="X8" s="34">
        <f t="shared" si="7"/>
        <v>1950000</v>
      </c>
    </row>
    <row r="9" spans="1:24">
      <c r="A9" s="6" t="s">
        <v>120</v>
      </c>
      <c r="B9" t="s">
        <v>323</v>
      </c>
      <c r="C9" s="6" t="s">
        <v>323</v>
      </c>
      <c r="D9" s="6" t="s">
        <v>305</v>
      </c>
      <c r="E9">
        <f t="shared" ca="1" si="0"/>
        <v>38</v>
      </c>
      <c r="F9" s="11">
        <v>32403</v>
      </c>
      <c r="G9" s="9">
        <v>42755</v>
      </c>
      <c r="H9" s="9">
        <v>46022</v>
      </c>
      <c r="I9" s="12">
        <v>450000</v>
      </c>
      <c r="J9" s="6" t="s">
        <v>412</v>
      </c>
      <c r="K9" s="6" t="s">
        <v>492</v>
      </c>
      <c r="L9" s="6">
        <v>3</v>
      </c>
      <c r="M9" s="6">
        <v>41</v>
      </c>
      <c r="N9" s="12">
        <v>650000</v>
      </c>
      <c r="O9" s="24">
        <f t="shared" si="1"/>
        <v>2275000</v>
      </c>
      <c r="P9" s="6" t="s">
        <v>497</v>
      </c>
      <c r="Q9">
        <f t="shared" ca="1" si="2"/>
        <v>100000</v>
      </c>
      <c r="R9" s="6" t="s">
        <v>506</v>
      </c>
      <c r="S9" s="6">
        <v>1.87</v>
      </c>
      <c r="T9" s="9">
        <f t="shared" ca="1" si="3"/>
        <v>46296</v>
      </c>
      <c r="U9" s="6">
        <f t="shared" ca="1" si="4"/>
        <v>-274</v>
      </c>
      <c r="V9" s="6" t="str">
        <f t="shared" ca="1" si="5"/>
        <v>Pre contrato</v>
      </c>
      <c r="W9" s="34">
        <f t="shared" si="6"/>
        <v>2700000</v>
      </c>
      <c r="X9" s="34">
        <f t="shared" si="7"/>
        <v>5850000</v>
      </c>
    </row>
    <row r="10" spans="1:24">
      <c r="A10" s="6" t="s">
        <v>121</v>
      </c>
      <c r="B10" t="s">
        <v>323</v>
      </c>
      <c r="C10" s="6" t="s">
        <v>324</v>
      </c>
      <c r="D10" s="6" t="s">
        <v>305</v>
      </c>
      <c r="E10">
        <f t="shared" ca="1" si="0"/>
        <v>24</v>
      </c>
      <c r="F10" s="11">
        <v>37251</v>
      </c>
      <c r="G10" s="11">
        <v>45538</v>
      </c>
      <c r="H10" s="9">
        <v>46752</v>
      </c>
      <c r="I10" s="12">
        <v>160000</v>
      </c>
      <c r="J10" s="6" t="s">
        <v>357</v>
      </c>
      <c r="K10" s="6" t="s">
        <v>492</v>
      </c>
      <c r="L10" s="6">
        <v>0</v>
      </c>
      <c r="M10" s="6">
        <v>0</v>
      </c>
      <c r="N10" s="12">
        <v>600000</v>
      </c>
      <c r="O10" s="24">
        <f t="shared" si="1"/>
        <v>2100000</v>
      </c>
      <c r="P10" s="6" t="s">
        <v>493</v>
      </c>
      <c r="Q10">
        <f t="shared" ca="1" si="2"/>
        <v>160000</v>
      </c>
      <c r="R10" s="6" t="s">
        <v>505</v>
      </c>
      <c r="S10" s="6">
        <v>1.84</v>
      </c>
      <c r="T10" s="9">
        <f t="shared" ca="1" si="3"/>
        <v>46296</v>
      </c>
      <c r="U10" s="6">
        <f t="shared" ca="1" si="4"/>
        <v>456</v>
      </c>
      <c r="V10" s="6" t="str">
        <f t="shared" ca="1" si="5"/>
        <v>Com Contrato em vigor</v>
      </c>
      <c r="W10" s="34">
        <f t="shared" si="6"/>
        <v>960000</v>
      </c>
      <c r="X10" s="34">
        <f t="shared" si="7"/>
        <v>2080000</v>
      </c>
    </row>
    <row r="11" spans="1:24">
      <c r="A11" s="6" t="s">
        <v>122</v>
      </c>
      <c r="B11" t="s">
        <v>323</v>
      </c>
      <c r="C11" s="6" t="s">
        <v>323</v>
      </c>
      <c r="D11" s="6" t="s">
        <v>342</v>
      </c>
      <c r="E11">
        <f t="shared" ca="1" si="0"/>
        <v>24</v>
      </c>
      <c r="F11" s="11">
        <v>37178</v>
      </c>
      <c r="G11" s="9">
        <v>45110</v>
      </c>
      <c r="H11" s="9">
        <v>46934</v>
      </c>
      <c r="I11" s="12">
        <v>310000</v>
      </c>
      <c r="J11" s="15" t="s">
        <v>413</v>
      </c>
      <c r="K11" s="6" t="s">
        <v>496</v>
      </c>
      <c r="L11" s="6">
        <v>2</v>
      </c>
      <c r="M11" s="6">
        <v>21</v>
      </c>
      <c r="N11" s="12">
        <v>2300000</v>
      </c>
      <c r="O11" s="24">
        <f t="shared" si="1"/>
        <v>8050000</v>
      </c>
      <c r="P11" s="6" t="s">
        <v>497</v>
      </c>
      <c r="Q11">
        <f t="shared" ca="1" si="2"/>
        <v>160000</v>
      </c>
      <c r="R11" s="6" t="s">
        <v>505</v>
      </c>
      <c r="S11" s="6">
        <v>1.83</v>
      </c>
      <c r="T11" s="9">
        <f t="shared" ca="1" si="3"/>
        <v>46296</v>
      </c>
      <c r="U11" s="6">
        <f t="shared" ca="1" si="4"/>
        <v>638</v>
      </c>
      <c r="V11" s="6" t="str">
        <f t="shared" ca="1" si="5"/>
        <v>Com Contrato em vigor</v>
      </c>
      <c r="W11" s="34">
        <f t="shared" si="6"/>
        <v>1860000</v>
      </c>
      <c r="X11" s="34">
        <f t="shared" si="7"/>
        <v>4030000</v>
      </c>
    </row>
    <row r="12" spans="1:24">
      <c r="A12" s="6" t="s">
        <v>123</v>
      </c>
      <c r="B12" t="s">
        <v>323</v>
      </c>
      <c r="C12" s="6" t="s">
        <v>323</v>
      </c>
      <c r="D12" s="6" t="s">
        <v>305</v>
      </c>
      <c r="E12">
        <f t="shared" ca="1" si="0"/>
        <v>27</v>
      </c>
      <c r="F12" s="11">
        <v>36417</v>
      </c>
      <c r="G12" s="9">
        <v>44942</v>
      </c>
      <c r="H12" s="9">
        <v>46387</v>
      </c>
      <c r="I12" s="12">
        <v>230000</v>
      </c>
      <c r="J12" s="15" t="s">
        <v>414</v>
      </c>
      <c r="K12" s="6" t="s">
        <v>496</v>
      </c>
      <c r="L12" s="6">
        <v>4</v>
      </c>
      <c r="M12" s="6">
        <v>35</v>
      </c>
      <c r="N12" s="12">
        <v>867000</v>
      </c>
      <c r="O12" s="24">
        <f t="shared" si="1"/>
        <v>3034500</v>
      </c>
      <c r="P12" s="6" t="s">
        <v>497</v>
      </c>
      <c r="Q12">
        <f t="shared" ca="1" si="2"/>
        <v>120000</v>
      </c>
      <c r="R12" s="6" t="s">
        <v>506</v>
      </c>
      <c r="S12" s="6">
        <v>1.81</v>
      </c>
      <c r="T12" s="9">
        <f t="shared" ca="1" si="3"/>
        <v>46296</v>
      </c>
      <c r="U12" s="6">
        <f t="shared" ca="1" si="4"/>
        <v>91</v>
      </c>
      <c r="V12" s="6" t="str">
        <f t="shared" ca="1" si="5"/>
        <v>Pre contrato</v>
      </c>
      <c r="W12" s="34">
        <f t="shared" si="6"/>
        <v>1380000</v>
      </c>
      <c r="X12" s="34">
        <f t="shared" si="7"/>
        <v>2990000</v>
      </c>
    </row>
    <row r="13" spans="1:24">
      <c r="A13" s="6" t="s">
        <v>124</v>
      </c>
      <c r="B13" t="s">
        <v>323</v>
      </c>
      <c r="C13" s="6" t="s">
        <v>323</v>
      </c>
      <c r="D13" s="6" t="s">
        <v>342</v>
      </c>
      <c r="E13">
        <f t="shared" ca="1" si="0"/>
        <v>31</v>
      </c>
      <c r="F13" s="11">
        <v>34817</v>
      </c>
      <c r="G13" s="9">
        <v>45302</v>
      </c>
      <c r="H13" s="9">
        <v>46752</v>
      </c>
      <c r="I13" s="12">
        <v>410000</v>
      </c>
      <c r="J13" s="6" t="s">
        <v>415</v>
      </c>
      <c r="K13" s="6" t="s">
        <v>498</v>
      </c>
      <c r="L13" s="6">
        <v>2</v>
      </c>
      <c r="M13" s="6">
        <v>16</v>
      </c>
      <c r="N13" s="12">
        <v>4000000</v>
      </c>
      <c r="O13" s="24">
        <f t="shared" si="1"/>
        <v>14000000</v>
      </c>
      <c r="P13" s="6" t="s">
        <v>493</v>
      </c>
      <c r="Q13">
        <f t="shared" ca="1" si="2"/>
        <v>100000</v>
      </c>
      <c r="R13" s="6" t="s">
        <v>507</v>
      </c>
      <c r="S13" s="6">
        <v>1.73</v>
      </c>
      <c r="T13" s="9">
        <f t="shared" ca="1" si="3"/>
        <v>46296</v>
      </c>
      <c r="U13" s="6">
        <f t="shared" ca="1" si="4"/>
        <v>456</v>
      </c>
      <c r="V13" s="6" t="str">
        <f t="shared" ca="1" si="5"/>
        <v>Com Contrato em vigor</v>
      </c>
      <c r="W13" s="34">
        <f t="shared" si="6"/>
        <v>2460000</v>
      </c>
      <c r="X13" s="34">
        <f t="shared" si="7"/>
        <v>5330000</v>
      </c>
    </row>
    <row r="14" spans="1:24">
      <c r="A14" s="6" t="s">
        <v>125</v>
      </c>
      <c r="B14" t="s">
        <v>323</v>
      </c>
      <c r="C14" s="9" t="s">
        <v>323</v>
      </c>
      <c r="D14" s="6" t="s">
        <v>305</v>
      </c>
      <c r="E14">
        <f t="shared" ca="1" si="0"/>
        <v>34</v>
      </c>
      <c r="F14" s="9">
        <v>33616</v>
      </c>
      <c r="G14" s="9">
        <v>44927</v>
      </c>
      <c r="H14" s="9">
        <v>45657</v>
      </c>
      <c r="I14" s="12">
        <v>230000</v>
      </c>
      <c r="J14" s="6" t="s">
        <v>401</v>
      </c>
      <c r="K14" s="6" t="s">
        <v>498</v>
      </c>
      <c r="L14" s="6">
        <v>4</v>
      </c>
      <c r="M14" s="6">
        <v>23</v>
      </c>
      <c r="N14" s="12">
        <v>300000</v>
      </c>
      <c r="O14" s="24">
        <f t="shared" si="1"/>
        <v>1050000</v>
      </c>
      <c r="P14" s="6" t="s">
        <v>493</v>
      </c>
      <c r="Q14">
        <f t="shared" ca="1" si="2"/>
        <v>100000</v>
      </c>
      <c r="R14" s="6" t="s">
        <v>506</v>
      </c>
      <c r="S14" s="6">
        <v>1.82</v>
      </c>
      <c r="T14" s="9">
        <f t="shared" ca="1" si="3"/>
        <v>46296</v>
      </c>
      <c r="U14" s="6">
        <f t="shared" ca="1" si="4"/>
        <v>-639</v>
      </c>
      <c r="V14" s="6" t="str">
        <f t="shared" ca="1" si="5"/>
        <v>Pre contrato</v>
      </c>
      <c r="W14" s="34">
        <f t="shared" si="6"/>
        <v>1380000</v>
      </c>
      <c r="X14" s="34">
        <f t="shared" si="7"/>
        <v>2990000</v>
      </c>
    </row>
    <row r="15" spans="1:24">
      <c r="A15" s="6" t="s">
        <v>126</v>
      </c>
      <c r="B15" t="s">
        <v>323</v>
      </c>
      <c r="C15" s="6" t="s">
        <v>323</v>
      </c>
      <c r="D15" s="6" t="s">
        <v>305</v>
      </c>
      <c r="E15">
        <f t="shared" ca="1" si="0"/>
        <v>28</v>
      </c>
      <c r="F15" s="11">
        <v>35748</v>
      </c>
      <c r="G15" s="9">
        <v>43466</v>
      </c>
      <c r="H15" s="9">
        <v>46387</v>
      </c>
      <c r="I15" s="12">
        <v>460000</v>
      </c>
      <c r="J15" s="6" t="s">
        <v>357</v>
      </c>
      <c r="K15" s="6" t="s">
        <v>494</v>
      </c>
      <c r="L15" s="6">
        <v>2</v>
      </c>
      <c r="M15" s="6">
        <v>24</v>
      </c>
      <c r="N15" s="12">
        <v>8000000</v>
      </c>
      <c r="O15" s="24">
        <f t="shared" si="1"/>
        <v>28000000</v>
      </c>
      <c r="P15" s="6" t="s">
        <v>493</v>
      </c>
      <c r="Q15">
        <f t="shared" ca="1" si="2"/>
        <v>120000</v>
      </c>
      <c r="R15" s="6" t="s">
        <v>506</v>
      </c>
      <c r="S15" s="6">
        <v>1.76</v>
      </c>
      <c r="T15" s="9">
        <f t="shared" ca="1" si="3"/>
        <v>46296</v>
      </c>
      <c r="U15" s="6">
        <f t="shared" ca="1" si="4"/>
        <v>91</v>
      </c>
      <c r="V15" s="6" t="str">
        <f t="shared" ca="1" si="5"/>
        <v>Pre contrato</v>
      </c>
      <c r="W15" s="34">
        <f t="shared" si="6"/>
        <v>2760000</v>
      </c>
      <c r="X15" s="34">
        <f t="shared" si="7"/>
        <v>5980000</v>
      </c>
    </row>
    <row r="16" spans="1:24">
      <c r="A16" s="6" t="s">
        <v>127</v>
      </c>
      <c r="B16" t="s">
        <v>323</v>
      </c>
      <c r="C16" s="6" t="s">
        <v>315</v>
      </c>
      <c r="D16" s="6" t="s">
        <v>305</v>
      </c>
      <c r="E16">
        <f t="shared" ca="1" si="0"/>
        <v>34</v>
      </c>
      <c r="F16" s="11">
        <v>33795</v>
      </c>
      <c r="G16" s="9">
        <v>45401</v>
      </c>
      <c r="H16" s="9">
        <v>45657</v>
      </c>
      <c r="I16" s="12">
        <v>440000</v>
      </c>
      <c r="J16" s="6" t="s">
        <v>379</v>
      </c>
      <c r="K16" s="6" t="s">
        <v>494</v>
      </c>
      <c r="L16" s="6">
        <v>3</v>
      </c>
      <c r="M16" s="6">
        <v>20</v>
      </c>
      <c r="N16" s="12">
        <v>2000000</v>
      </c>
      <c r="O16" s="24">
        <f t="shared" si="1"/>
        <v>7000000</v>
      </c>
      <c r="P16" s="6" t="s">
        <v>493</v>
      </c>
      <c r="Q16">
        <f t="shared" ca="1" si="2"/>
        <v>100000</v>
      </c>
      <c r="R16" s="6" t="s">
        <v>503</v>
      </c>
      <c r="S16" s="6">
        <v>1.71</v>
      </c>
      <c r="T16" s="9">
        <f t="shared" ca="1" si="3"/>
        <v>46296</v>
      </c>
      <c r="U16" s="6">
        <f t="shared" ca="1" si="4"/>
        <v>-639</v>
      </c>
      <c r="V16" s="6" t="str">
        <f t="shared" ca="1" si="5"/>
        <v>Pre contrato</v>
      </c>
      <c r="W16" s="34">
        <f t="shared" si="6"/>
        <v>2640000</v>
      </c>
      <c r="X16" s="34">
        <f t="shared" si="7"/>
        <v>5720000</v>
      </c>
    </row>
    <row r="17" spans="1:24">
      <c r="A17" s="6" t="s">
        <v>128</v>
      </c>
      <c r="B17" t="s">
        <v>323</v>
      </c>
      <c r="C17" s="6" t="s">
        <v>323</v>
      </c>
      <c r="D17" s="6" t="s">
        <v>305</v>
      </c>
      <c r="E17">
        <f t="shared" ca="1" si="0"/>
        <v>41</v>
      </c>
      <c r="F17" s="11">
        <v>31171</v>
      </c>
      <c r="G17" s="9">
        <v>44760</v>
      </c>
      <c r="H17" s="9">
        <v>45657</v>
      </c>
      <c r="I17" s="12">
        <v>860000</v>
      </c>
      <c r="J17" s="6" t="s">
        <v>416</v>
      </c>
      <c r="K17" s="6" t="s">
        <v>494</v>
      </c>
      <c r="L17" s="6">
        <v>2</v>
      </c>
      <c r="M17" s="6">
        <v>50</v>
      </c>
      <c r="N17" s="12">
        <v>500000</v>
      </c>
      <c r="O17" s="24">
        <f t="shared" si="1"/>
        <v>1750000</v>
      </c>
      <c r="P17" s="6" t="s">
        <v>497</v>
      </c>
      <c r="Q17">
        <f t="shared" ca="1" si="2"/>
        <v>100000</v>
      </c>
      <c r="R17" s="6" t="s">
        <v>505</v>
      </c>
      <c r="S17" s="6">
        <v>1.79</v>
      </c>
      <c r="T17" s="9">
        <f t="shared" ca="1" si="3"/>
        <v>46296</v>
      </c>
      <c r="U17" s="6">
        <f t="shared" ca="1" si="4"/>
        <v>-639</v>
      </c>
      <c r="V17" s="6" t="str">
        <f t="shared" ca="1" si="5"/>
        <v>Pre contrato</v>
      </c>
      <c r="W17" s="34">
        <f t="shared" si="6"/>
        <v>5160000</v>
      </c>
      <c r="X17" s="34">
        <f t="shared" si="7"/>
        <v>11180000</v>
      </c>
    </row>
    <row r="18" spans="1:24">
      <c r="A18" s="6" t="s">
        <v>129</v>
      </c>
      <c r="B18" t="s">
        <v>323</v>
      </c>
      <c r="C18" s="6" t="s">
        <v>323</v>
      </c>
      <c r="D18" s="6" t="s">
        <v>305</v>
      </c>
      <c r="E18">
        <f t="shared" ca="1" si="0"/>
        <v>25</v>
      </c>
      <c r="F18" s="11">
        <v>36879</v>
      </c>
      <c r="G18" s="9">
        <v>43709</v>
      </c>
      <c r="H18" s="9">
        <v>46022</v>
      </c>
      <c r="I18" s="12">
        <v>379000</v>
      </c>
      <c r="J18" s="6" t="s">
        <v>400</v>
      </c>
      <c r="K18" s="6" t="s">
        <v>501</v>
      </c>
      <c r="L18" s="6">
        <v>1</v>
      </c>
      <c r="M18" s="6">
        <v>21</v>
      </c>
      <c r="N18" s="12">
        <v>7000000</v>
      </c>
      <c r="O18" s="24">
        <f t="shared" si="1"/>
        <v>24500000</v>
      </c>
      <c r="P18" s="6" t="s">
        <v>493</v>
      </c>
      <c r="Q18">
        <f t="shared" ca="1" si="2"/>
        <v>120000</v>
      </c>
      <c r="R18" s="6" t="s">
        <v>503</v>
      </c>
      <c r="S18" s="6">
        <v>1.78</v>
      </c>
      <c r="T18" s="9">
        <f t="shared" ca="1" si="3"/>
        <v>46296</v>
      </c>
      <c r="U18" s="6">
        <f t="shared" ca="1" si="4"/>
        <v>-274</v>
      </c>
      <c r="V18" s="6" t="str">
        <f t="shared" ca="1" si="5"/>
        <v>Pre contrato</v>
      </c>
      <c r="W18" s="34">
        <f t="shared" si="6"/>
        <v>2274000</v>
      </c>
      <c r="X18" s="34">
        <f t="shared" si="7"/>
        <v>4927000</v>
      </c>
    </row>
    <row r="19" spans="1:24">
      <c r="A19" s="6" t="s">
        <v>130</v>
      </c>
      <c r="B19" t="s">
        <v>323</v>
      </c>
      <c r="C19" s="6" t="s">
        <v>323</v>
      </c>
      <c r="D19" s="6" t="s">
        <v>305</v>
      </c>
      <c r="E19">
        <f t="shared" ca="1" si="0"/>
        <v>24</v>
      </c>
      <c r="F19" s="13">
        <v>37295</v>
      </c>
      <c r="G19" s="9">
        <v>45527</v>
      </c>
      <c r="H19" s="9">
        <v>45657</v>
      </c>
      <c r="I19" s="12">
        <v>420000</v>
      </c>
      <c r="J19" s="6" t="s">
        <v>357</v>
      </c>
      <c r="K19" s="6" t="s">
        <v>494</v>
      </c>
      <c r="L19" s="6">
        <v>0</v>
      </c>
      <c r="M19" s="6">
        <v>0</v>
      </c>
      <c r="N19" s="12">
        <v>3500000</v>
      </c>
      <c r="O19" s="24">
        <f t="shared" si="1"/>
        <v>12250000</v>
      </c>
      <c r="P19" s="6" t="s">
        <v>493</v>
      </c>
      <c r="Q19">
        <f t="shared" ca="1" si="2"/>
        <v>160000</v>
      </c>
      <c r="R19" s="6" t="s">
        <v>506</v>
      </c>
      <c r="S19" s="6">
        <v>1.86</v>
      </c>
      <c r="T19" s="9">
        <f t="shared" ca="1" si="3"/>
        <v>46296</v>
      </c>
      <c r="U19" s="6">
        <f t="shared" ca="1" si="4"/>
        <v>-639</v>
      </c>
      <c r="V19" s="6" t="str">
        <f t="shared" ca="1" si="5"/>
        <v>Pre contrato</v>
      </c>
      <c r="W19" s="34">
        <f t="shared" si="6"/>
        <v>2520000</v>
      </c>
      <c r="X19" s="34">
        <f t="shared" si="7"/>
        <v>5460000</v>
      </c>
    </row>
    <row r="20" spans="1:24">
      <c r="A20" s="6" t="s">
        <v>131</v>
      </c>
      <c r="B20" t="s">
        <v>323</v>
      </c>
      <c r="C20" s="6" t="s">
        <v>323</v>
      </c>
      <c r="D20" s="6" t="s">
        <v>305</v>
      </c>
      <c r="E20">
        <f t="shared" ca="1" si="0"/>
        <v>26</v>
      </c>
      <c r="F20" s="11">
        <v>36648</v>
      </c>
      <c r="G20" s="9">
        <v>45394</v>
      </c>
      <c r="H20" s="9">
        <v>45657</v>
      </c>
      <c r="I20" s="12">
        <v>240000</v>
      </c>
      <c r="J20" s="6" t="s">
        <v>417</v>
      </c>
      <c r="K20" s="6" t="s">
        <v>494</v>
      </c>
      <c r="L20" s="6">
        <v>0</v>
      </c>
      <c r="M20" s="6">
        <v>0</v>
      </c>
      <c r="N20" s="12">
        <v>650000</v>
      </c>
      <c r="O20" s="24">
        <f t="shared" si="1"/>
        <v>2275000</v>
      </c>
      <c r="P20" s="6" t="s">
        <v>493</v>
      </c>
      <c r="Q20">
        <f t="shared" ca="1" si="2"/>
        <v>120000</v>
      </c>
      <c r="R20" s="6" t="s">
        <v>506</v>
      </c>
      <c r="S20" s="6">
        <v>1.94</v>
      </c>
      <c r="T20" s="35">
        <f t="shared" ca="1" si="3"/>
        <v>46296</v>
      </c>
      <c r="U20" s="6">
        <f t="shared" ca="1" si="4"/>
        <v>-639</v>
      </c>
      <c r="V20" s="6" t="str">
        <f t="shared" ca="1" si="5"/>
        <v>Pre contrato</v>
      </c>
      <c r="W20" s="34">
        <f t="shared" si="6"/>
        <v>1440000</v>
      </c>
      <c r="X20" s="34">
        <f t="shared" si="7"/>
        <v>3120000</v>
      </c>
    </row>
    <row r="21" spans="1:24">
      <c r="A21" s="6" t="s">
        <v>132</v>
      </c>
      <c r="B21" t="s">
        <v>323</v>
      </c>
      <c r="C21" s="6" t="s">
        <v>323</v>
      </c>
      <c r="D21" s="6" t="s">
        <v>305</v>
      </c>
      <c r="E21">
        <f t="shared" ca="1" si="0"/>
        <v>24</v>
      </c>
      <c r="F21" s="11">
        <v>37182</v>
      </c>
      <c r="G21" s="9">
        <v>45336</v>
      </c>
      <c r="H21" s="9">
        <v>46752</v>
      </c>
      <c r="I21" s="12">
        <v>345000</v>
      </c>
      <c r="J21" s="6" t="s">
        <v>418</v>
      </c>
      <c r="K21" s="6" t="s">
        <v>494</v>
      </c>
      <c r="L21" s="6">
        <v>1</v>
      </c>
      <c r="M21" s="6">
        <v>21</v>
      </c>
      <c r="N21" s="12">
        <v>900000</v>
      </c>
      <c r="O21" s="24">
        <f t="shared" si="1"/>
        <v>3150000</v>
      </c>
      <c r="P21" s="6" t="s">
        <v>497</v>
      </c>
      <c r="Q21">
        <f t="shared" ca="1" si="2"/>
        <v>160000</v>
      </c>
      <c r="R21" s="6" t="s">
        <v>506</v>
      </c>
      <c r="S21" s="6">
        <v>1.83</v>
      </c>
      <c r="T21" s="9">
        <f t="shared" ca="1" si="3"/>
        <v>46296</v>
      </c>
      <c r="U21" s="6">
        <f t="shared" ca="1" si="4"/>
        <v>456</v>
      </c>
      <c r="V21" s="6" t="str">
        <f t="shared" ca="1" si="5"/>
        <v>Com Contrato em vigor</v>
      </c>
      <c r="W21" s="34">
        <f t="shared" si="6"/>
        <v>2070000</v>
      </c>
      <c r="X21" s="34">
        <f t="shared" si="7"/>
        <v>4485000</v>
      </c>
    </row>
    <row r="22" spans="1:24">
      <c r="A22" s="6" t="s">
        <v>133</v>
      </c>
      <c r="B22" t="s">
        <v>323</v>
      </c>
      <c r="C22" s="6" t="s">
        <v>323</v>
      </c>
      <c r="D22" s="6" t="s">
        <v>305</v>
      </c>
      <c r="E22">
        <f t="shared" ca="1" si="0"/>
        <v>20</v>
      </c>
      <c r="F22" s="11">
        <v>38849</v>
      </c>
      <c r="G22" s="9">
        <v>45449</v>
      </c>
      <c r="H22" s="9">
        <v>46812</v>
      </c>
      <c r="I22" s="12">
        <v>160000</v>
      </c>
      <c r="J22" s="6" t="s">
        <v>347</v>
      </c>
      <c r="K22" s="6" t="s">
        <v>499</v>
      </c>
      <c r="L22" s="6">
        <v>0</v>
      </c>
      <c r="M22" s="6">
        <v>0</v>
      </c>
      <c r="N22" s="12">
        <v>1000000</v>
      </c>
      <c r="O22" s="24">
        <f t="shared" si="1"/>
        <v>3500000</v>
      </c>
      <c r="P22" s="6" t="s">
        <v>493</v>
      </c>
      <c r="Q22">
        <f t="shared" ca="1" si="2"/>
        <v>160000</v>
      </c>
      <c r="R22" s="6" t="s">
        <v>503</v>
      </c>
      <c r="S22" s="6">
        <v>1.72</v>
      </c>
      <c r="T22" s="9">
        <f t="shared" ca="1" si="3"/>
        <v>46296</v>
      </c>
      <c r="U22" s="6">
        <f t="shared" ca="1" si="4"/>
        <v>516</v>
      </c>
      <c r="V22" s="6" t="str">
        <f t="shared" ca="1" si="5"/>
        <v>Com Contrato em vigor</v>
      </c>
      <c r="W22" s="34">
        <f t="shared" si="6"/>
        <v>960000</v>
      </c>
      <c r="X22" s="34">
        <f t="shared" si="7"/>
        <v>2080000</v>
      </c>
    </row>
    <row r="23" spans="1:24">
      <c r="A23" s="6" t="s">
        <v>134</v>
      </c>
      <c r="B23" t="s">
        <v>323</v>
      </c>
      <c r="C23" s="6" t="s">
        <v>323</v>
      </c>
      <c r="D23" s="6" t="s">
        <v>342</v>
      </c>
      <c r="E23">
        <f t="shared" ca="1" si="0"/>
        <v>24</v>
      </c>
      <c r="F23" s="11">
        <v>37392</v>
      </c>
      <c r="G23" s="9">
        <v>45128</v>
      </c>
      <c r="H23" s="9">
        <v>46935</v>
      </c>
      <c r="I23" s="12">
        <v>500000</v>
      </c>
      <c r="J23" s="6" t="s">
        <v>419</v>
      </c>
      <c r="K23" s="6" t="s">
        <v>499</v>
      </c>
      <c r="L23" s="6">
        <v>0</v>
      </c>
      <c r="M23" s="6">
        <v>0</v>
      </c>
      <c r="N23" s="12">
        <v>4000000</v>
      </c>
      <c r="O23" s="24">
        <f t="shared" si="1"/>
        <v>14000000</v>
      </c>
      <c r="P23" s="6" t="s">
        <v>493</v>
      </c>
      <c r="Q23">
        <f t="shared" ca="1" si="2"/>
        <v>160000</v>
      </c>
      <c r="R23" s="6" t="s">
        <v>503</v>
      </c>
      <c r="S23" s="6">
        <v>1.83</v>
      </c>
      <c r="T23" s="9">
        <f t="shared" ca="1" si="3"/>
        <v>46296</v>
      </c>
      <c r="U23" s="6">
        <f t="shared" ca="1" si="4"/>
        <v>639</v>
      </c>
      <c r="V23" s="6" t="str">
        <f t="shared" ca="1" si="5"/>
        <v>Com Contrato em vigor</v>
      </c>
      <c r="W23" s="34">
        <f t="shared" si="6"/>
        <v>3000000</v>
      </c>
      <c r="X23" s="34">
        <f t="shared" si="7"/>
        <v>6500000</v>
      </c>
    </row>
    <row r="24" spans="1:24">
      <c r="A24" s="6" t="s">
        <v>135</v>
      </c>
      <c r="B24" t="s">
        <v>323</v>
      </c>
      <c r="C24" s="6" t="s">
        <v>304</v>
      </c>
      <c r="D24" s="6" t="s">
        <v>305</v>
      </c>
      <c r="E24">
        <f t="shared" ca="1" si="0"/>
        <v>34</v>
      </c>
      <c r="F24" s="11">
        <v>33814</v>
      </c>
      <c r="G24" s="9">
        <v>45401</v>
      </c>
      <c r="H24" s="9">
        <v>45657</v>
      </c>
      <c r="I24" s="12">
        <v>890000</v>
      </c>
      <c r="J24" s="6" t="s">
        <v>379</v>
      </c>
      <c r="K24" s="6" t="s">
        <v>499</v>
      </c>
      <c r="L24" s="6">
        <v>2</v>
      </c>
      <c r="M24" s="6">
        <v>19</v>
      </c>
      <c r="N24" s="12">
        <v>1000000</v>
      </c>
      <c r="O24" s="24">
        <f t="shared" si="1"/>
        <v>3500000</v>
      </c>
      <c r="P24" s="6" t="s">
        <v>497</v>
      </c>
      <c r="Q24">
        <f t="shared" ca="1" si="2"/>
        <v>100000</v>
      </c>
      <c r="R24" s="6" t="s">
        <v>503</v>
      </c>
      <c r="S24" s="6">
        <v>1.74</v>
      </c>
      <c r="T24" s="9">
        <f t="shared" ca="1" si="3"/>
        <v>46296</v>
      </c>
      <c r="U24" s="6">
        <f t="shared" ca="1" si="4"/>
        <v>-639</v>
      </c>
      <c r="V24" s="6" t="str">
        <f t="shared" ca="1" si="5"/>
        <v>Pre contrato</v>
      </c>
      <c r="W24" s="34">
        <f t="shared" si="6"/>
        <v>5340000</v>
      </c>
      <c r="X24" s="34">
        <f t="shared" si="7"/>
        <v>11570000</v>
      </c>
    </row>
    <row r="25" spans="1:24">
      <c r="A25" s="6" t="s">
        <v>136</v>
      </c>
      <c r="B25" t="s">
        <v>323</v>
      </c>
      <c r="C25" s="6" t="s">
        <v>323</v>
      </c>
      <c r="D25" s="6" t="s">
        <v>319</v>
      </c>
      <c r="E25">
        <f t="shared" ca="1" si="0"/>
        <v>28</v>
      </c>
      <c r="F25" s="11">
        <v>36069</v>
      </c>
      <c r="G25" s="9">
        <v>44650</v>
      </c>
      <c r="H25" s="9">
        <v>46387</v>
      </c>
      <c r="I25" s="12">
        <v>689000</v>
      </c>
      <c r="J25" s="6" t="s">
        <v>420</v>
      </c>
      <c r="K25" s="6" t="s">
        <v>499</v>
      </c>
      <c r="L25" s="6">
        <v>0</v>
      </c>
      <c r="M25" s="6">
        <v>0</v>
      </c>
      <c r="N25" s="12">
        <v>7000000</v>
      </c>
      <c r="O25" s="24">
        <f t="shared" si="1"/>
        <v>24500000</v>
      </c>
      <c r="P25" s="6" t="s">
        <v>493</v>
      </c>
      <c r="Q25">
        <f t="shared" ca="1" si="2"/>
        <v>120000</v>
      </c>
      <c r="R25" s="6" t="s">
        <v>506</v>
      </c>
      <c r="S25" s="6">
        <v>1.75</v>
      </c>
      <c r="T25" s="9">
        <f t="shared" ca="1" si="3"/>
        <v>46296</v>
      </c>
      <c r="U25" s="6">
        <f t="shared" ca="1" si="4"/>
        <v>91</v>
      </c>
      <c r="V25" s="6" t="str">
        <f t="shared" ca="1" si="5"/>
        <v>Pre contrato</v>
      </c>
      <c r="W25" s="34">
        <f t="shared" si="6"/>
        <v>4134000</v>
      </c>
      <c r="X25" s="34">
        <f t="shared" si="7"/>
        <v>8957000</v>
      </c>
    </row>
    <row r="26" spans="1:24">
      <c r="A26" s="6" t="s">
        <v>137</v>
      </c>
      <c r="B26" t="s">
        <v>323</v>
      </c>
      <c r="C26" s="6" t="s">
        <v>323</v>
      </c>
      <c r="D26" s="6" t="s">
        <v>342</v>
      </c>
      <c r="E26">
        <f t="shared" ca="1" si="0"/>
        <v>26</v>
      </c>
      <c r="F26" s="11">
        <v>36590</v>
      </c>
      <c r="G26" s="9">
        <v>44615</v>
      </c>
      <c r="H26" s="9">
        <v>46022</v>
      </c>
      <c r="I26" s="12">
        <v>700000</v>
      </c>
      <c r="J26" s="6" t="s">
        <v>421</v>
      </c>
      <c r="K26" s="6" t="s">
        <v>500</v>
      </c>
      <c r="L26" s="6">
        <v>2</v>
      </c>
      <c r="M26" s="6">
        <v>41</v>
      </c>
      <c r="N26" s="12">
        <v>6000000</v>
      </c>
      <c r="O26" s="24">
        <f t="shared" si="1"/>
        <v>21000000</v>
      </c>
      <c r="P26" s="6" t="s">
        <v>493</v>
      </c>
      <c r="Q26">
        <f t="shared" ca="1" si="2"/>
        <v>120000</v>
      </c>
      <c r="R26" s="6" t="s">
        <v>503</v>
      </c>
      <c r="S26" s="6">
        <v>1.76</v>
      </c>
      <c r="T26" s="9">
        <f t="shared" ca="1" si="3"/>
        <v>46296</v>
      </c>
      <c r="U26" s="6">
        <f t="shared" ca="1" si="4"/>
        <v>-274</v>
      </c>
      <c r="V26" s="6" t="str">
        <f t="shared" ca="1" si="5"/>
        <v>Pre contrato</v>
      </c>
      <c r="W26" s="34">
        <f t="shared" si="6"/>
        <v>4200000</v>
      </c>
      <c r="X26" s="34">
        <f t="shared" si="7"/>
        <v>9100000</v>
      </c>
    </row>
    <row r="27" spans="1:24">
      <c r="A27" s="6" t="s">
        <v>138</v>
      </c>
      <c r="B27" t="s">
        <v>323</v>
      </c>
      <c r="C27" s="6" t="s">
        <v>323</v>
      </c>
      <c r="D27" s="6" t="s">
        <v>342</v>
      </c>
      <c r="E27">
        <f t="shared" ca="1" si="0"/>
        <v>29</v>
      </c>
      <c r="F27" s="11">
        <v>35391</v>
      </c>
      <c r="G27" s="9">
        <v>45328</v>
      </c>
      <c r="H27" s="9">
        <v>46752</v>
      </c>
      <c r="I27" s="12">
        <v>412000</v>
      </c>
      <c r="J27" s="6" t="s">
        <v>375</v>
      </c>
      <c r="K27" s="6" t="s">
        <v>500</v>
      </c>
      <c r="L27" s="6">
        <v>0</v>
      </c>
      <c r="M27" s="6">
        <v>0</v>
      </c>
      <c r="N27" s="12">
        <v>4000000</v>
      </c>
      <c r="O27" s="24">
        <f t="shared" si="1"/>
        <v>14000000</v>
      </c>
      <c r="P27" s="6" t="s">
        <v>493</v>
      </c>
      <c r="Q27">
        <f t="shared" ca="1" si="2"/>
        <v>120000</v>
      </c>
      <c r="R27" s="6" t="s">
        <v>506</v>
      </c>
      <c r="S27" s="6">
        <v>1.9</v>
      </c>
      <c r="T27" s="9">
        <f t="shared" ca="1" si="3"/>
        <v>46296</v>
      </c>
      <c r="U27" s="6">
        <f t="shared" ca="1" si="4"/>
        <v>456</v>
      </c>
      <c r="V27" s="6" t="str">
        <f t="shared" ca="1" si="5"/>
        <v>Com Contrato em vigor</v>
      </c>
      <c r="W27" s="34">
        <f t="shared" si="6"/>
        <v>2472000</v>
      </c>
      <c r="X27" s="34">
        <f t="shared" si="7"/>
        <v>5356000</v>
      </c>
    </row>
    <row r="28" spans="1:24">
      <c r="A28" s="6" t="s">
        <v>139</v>
      </c>
      <c r="B28" t="s">
        <v>323</v>
      </c>
      <c r="C28" s="6" t="s">
        <v>323</v>
      </c>
      <c r="D28" s="6" t="s">
        <v>319</v>
      </c>
      <c r="E28">
        <f t="shared" ca="1" si="0"/>
        <v>33</v>
      </c>
      <c r="F28" s="11">
        <v>34087</v>
      </c>
      <c r="G28" s="9">
        <v>45320</v>
      </c>
      <c r="H28" s="9">
        <v>46387</v>
      </c>
      <c r="I28" s="12">
        <v>689000</v>
      </c>
      <c r="J28" s="6" t="s">
        <v>422</v>
      </c>
      <c r="K28" s="6" t="s">
        <v>500</v>
      </c>
      <c r="L28" s="6">
        <v>4</v>
      </c>
      <c r="M28" s="6">
        <v>120</v>
      </c>
      <c r="N28" s="12">
        <v>1200000</v>
      </c>
      <c r="O28" s="24">
        <f t="shared" si="1"/>
        <v>4200000</v>
      </c>
      <c r="P28" s="6" t="s">
        <v>497</v>
      </c>
      <c r="Q28">
        <f t="shared" ca="1" si="2"/>
        <v>100000</v>
      </c>
      <c r="R28" s="6" t="s">
        <v>506</v>
      </c>
      <c r="S28" s="6">
        <v>1.82</v>
      </c>
      <c r="T28" s="9">
        <f t="shared" ca="1" si="3"/>
        <v>46296</v>
      </c>
      <c r="U28" s="6">
        <f t="shared" ca="1" si="4"/>
        <v>91</v>
      </c>
      <c r="V28" s="6" t="str">
        <f t="shared" ca="1" si="5"/>
        <v>Pre contrato</v>
      </c>
      <c r="W28" s="34">
        <f t="shared" si="6"/>
        <v>4134000</v>
      </c>
      <c r="X28" s="34">
        <f t="shared" si="7"/>
        <v>8957000</v>
      </c>
    </row>
    <row r="29" spans="1:24">
      <c r="A29" s="6" t="s">
        <v>140</v>
      </c>
      <c r="B29" t="s">
        <v>323</v>
      </c>
      <c r="C29" s="6" t="s">
        <v>323</v>
      </c>
      <c r="D29" s="6" t="s">
        <v>305</v>
      </c>
      <c r="E29">
        <f t="shared" ca="1" si="0"/>
        <v>34</v>
      </c>
      <c r="F29" s="11">
        <v>33778</v>
      </c>
      <c r="G29" s="9">
        <v>45278</v>
      </c>
      <c r="H29" s="9">
        <v>46022</v>
      </c>
      <c r="I29" s="12">
        <v>700000</v>
      </c>
      <c r="J29" s="6" t="s">
        <v>423</v>
      </c>
      <c r="K29" s="6" t="s">
        <v>500</v>
      </c>
      <c r="L29" s="6">
        <v>0</v>
      </c>
      <c r="M29" s="6">
        <v>0</v>
      </c>
      <c r="N29" s="12">
        <v>2000000</v>
      </c>
      <c r="O29" s="24">
        <f t="shared" si="1"/>
        <v>7000000</v>
      </c>
      <c r="P29" s="6" t="s">
        <v>493</v>
      </c>
      <c r="Q29">
        <f t="shared" ca="1" si="2"/>
        <v>100000</v>
      </c>
      <c r="R29" s="6" t="s">
        <v>503</v>
      </c>
      <c r="S29" s="6">
        <v>1.85</v>
      </c>
      <c r="T29" s="9">
        <f t="shared" ca="1" si="3"/>
        <v>46296</v>
      </c>
      <c r="U29" s="6">
        <f t="shared" ca="1" si="4"/>
        <v>-274</v>
      </c>
      <c r="V29" s="6" t="str">
        <f t="shared" ca="1" si="5"/>
        <v>Pre contrato</v>
      </c>
      <c r="W29" s="34">
        <f t="shared" si="6"/>
        <v>4200000</v>
      </c>
      <c r="X29" s="34">
        <f t="shared" si="7"/>
        <v>9100000</v>
      </c>
    </row>
    <row r="30" spans="1:24">
      <c r="A30" s="6" t="s">
        <v>141</v>
      </c>
      <c r="B30" t="s">
        <v>323</v>
      </c>
      <c r="C30" s="6" t="s">
        <v>323</v>
      </c>
      <c r="D30" s="6" t="s">
        <v>305</v>
      </c>
      <c r="E30">
        <f t="shared" ca="1" si="0"/>
        <v>25</v>
      </c>
      <c r="F30" s="11">
        <v>36916</v>
      </c>
      <c r="G30" s="9">
        <v>45292</v>
      </c>
      <c r="H30" s="9">
        <v>46387</v>
      </c>
      <c r="I30" s="12">
        <v>470000</v>
      </c>
      <c r="J30" s="6" t="s">
        <v>424</v>
      </c>
      <c r="K30" s="6" t="s">
        <v>500</v>
      </c>
      <c r="L30" s="6">
        <v>0</v>
      </c>
      <c r="M30" s="6">
        <v>0</v>
      </c>
      <c r="N30" s="12">
        <v>2500000</v>
      </c>
      <c r="O30" s="24">
        <f t="shared" si="1"/>
        <v>8750000</v>
      </c>
      <c r="P30" s="6" t="s">
        <v>493</v>
      </c>
      <c r="Q30">
        <f t="shared" ca="1" si="2"/>
        <v>120000</v>
      </c>
      <c r="R30" s="6" t="s">
        <v>506</v>
      </c>
      <c r="S30" s="6">
        <v>1.88</v>
      </c>
      <c r="T30" s="9">
        <f t="shared" ca="1" si="3"/>
        <v>46296</v>
      </c>
      <c r="U30" s="6">
        <f t="shared" ca="1" si="4"/>
        <v>91</v>
      </c>
      <c r="V30" s="6" t="str">
        <f t="shared" ca="1" si="5"/>
        <v>Pre contrato</v>
      </c>
      <c r="W30" s="34">
        <f t="shared" si="6"/>
        <v>2820000</v>
      </c>
      <c r="X30" s="34">
        <f t="shared" si="7"/>
        <v>6110000</v>
      </c>
    </row>
    <row r="31" spans="1:24">
      <c r="A31" s="6" t="s">
        <v>51</v>
      </c>
      <c r="B31" t="s">
        <v>313</v>
      </c>
      <c r="C31" s="6" t="s">
        <v>313</v>
      </c>
      <c r="D31" s="6" t="s">
        <v>305</v>
      </c>
      <c r="E31">
        <f t="shared" ca="1" si="0"/>
        <v>30</v>
      </c>
      <c r="F31" s="13">
        <v>35299</v>
      </c>
      <c r="G31" s="9">
        <v>44580</v>
      </c>
      <c r="H31" s="9">
        <v>46022</v>
      </c>
      <c r="I31" s="12">
        <v>35000</v>
      </c>
      <c r="J31" s="6" t="s">
        <v>357</v>
      </c>
      <c r="K31" s="6" t="s">
        <v>495</v>
      </c>
      <c r="L31" s="6">
        <v>0</v>
      </c>
      <c r="M31" s="6">
        <v>0</v>
      </c>
      <c r="N31" s="12">
        <v>500000</v>
      </c>
      <c r="O31" s="24">
        <f t="shared" si="1"/>
        <v>1750000</v>
      </c>
      <c r="P31" s="6" t="s">
        <v>493</v>
      </c>
      <c r="Q31">
        <f t="shared" ca="1" si="2"/>
        <v>120000</v>
      </c>
      <c r="R31" s="6" t="s">
        <v>503</v>
      </c>
      <c r="S31" s="15">
        <v>1.94</v>
      </c>
      <c r="T31" s="9">
        <f t="shared" ca="1" si="3"/>
        <v>46296</v>
      </c>
      <c r="U31" s="6">
        <f t="shared" ca="1" si="4"/>
        <v>-274</v>
      </c>
      <c r="V31" s="6" t="str">
        <f t="shared" ca="1" si="5"/>
        <v>Pre contrato</v>
      </c>
      <c r="W31" s="34">
        <f t="shared" si="6"/>
        <v>210000</v>
      </c>
      <c r="X31" s="34">
        <f t="shared" si="7"/>
        <v>455000</v>
      </c>
    </row>
    <row r="32" spans="1:24">
      <c r="A32" s="6" t="s">
        <v>52</v>
      </c>
      <c r="B32" t="s">
        <v>313</v>
      </c>
      <c r="C32" s="6" t="s">
        <v>314</v>
      </c>
      <c r="D32" s="6" t="s">
        <v>305</v>
      </c>
      <c r="E32">
        <f t="shared" ca="1" si="0"/>
        <v>26</v>
      </c>
      <c r="F32" s="11">
        <v>36706</v>
      </c>
      <c r="G32" s="9">
        <v>45308</v>
      </c>
      <c r="H32" s="9">
        <v>46387</v>
      </c>
      <c r="I32" s="12">
        <v>20000</v>
      </c>
      <c r="J32" s="6" t="s">
        <v>367</v>
      </c>
      <c r="K32" s="6" t="s">
        <v>495</v>
      </c>
      <c r="L32" s="6">
        <v>0</v>
      </c>
      <c r="M32" s="6">
        <v>0</v>
      </c>
      <c r="N32" s="12">
        <v>600000</v>
      </c>
      <c r="O32" s="24">
        <f t="shared" si="1"/>
        <v>2100000</v>
      </c>
      <c r="P32" s="6" t="s">
        <v>493</v>
      </c>
      <c r="Q32">
        <f t="shared" ca="1" si="2"/>
        <v>120000</v>
      </c>
      <c r="R32" s="6" t="s">
        <v>506</v>
      </c>
      <c r="S32" s="6">
        <v>1.92</v>
      </c>
      <c r="T32" s="9">
        <f t="shared" ca="1" si="3"/>
        <v>46296</v>
      </c>
      <c r="U32" s="6">
        <f t="shared" ca="1" si="4"/>
        <v>91</v>
      </c>
      <c r="V32" s="6" t="str">
        <f t="shared" ca="1" si="5"/>
        <v>Pre contrato</v>
      </c>
      <c r="W32" s="34">
        <f t="shared" si="6"/>
        <v>120000</v>
      </c>
      <c r="X32" s="34">
        <f t="shared" si="7"/>
        <v>260000</v>
      </c>
    </row>
    <row r="33" spans="1:24">
      <c r="A33" s="6" t="s">
        <v>53</v>
      </c>
      <c r="B33" t="s">
        <v>313</v>
      </c>
      <c r="C33" s="6" t="s">
        <v>315</v>
      </c>
      <c r="D33" s="6" t="s">
        <v>305</v>
      </c>
      <c r="E33">
        <f t="shared" ca="1" si="0"/>
        <v>26</v>
      </c>
      <c r="F33" s="11">
        <v>36563</v>
      </c>
      <c r="G33" s="9">
        <v>45292</v>
      </c>
      <c r="H33" s="9">
        <v>45657</v>
      </c>
      <c r="I33" s="12">
        <v>30000</v>
      </c>
      <c r="J33" s="15" t="s">
        <v>368</v>
      </c>
      <c r="K33" s="6" t="s">
        <v>495</v>
      </c>
      <c r="L33" s="6">
        <v>0</v>
      </c>
      <c r="M33" s="6">
        <v>0</v>
      </c>
      <c r="N33" s="12">
        <v>20000</v>
      </c>
      <c r="O33" s="24">
        <f t="shared" si="1"/>
        <v>70000</v>
      </c>
      <c r="P33" s="6" t="s">
        <v>493</v>
      </c>
      <c r="Q33">
        <f t="shared" ca="1" si="2"/>
        <v>120000</v>
      </c>
      <c r="R33" s="6" t="s">
        <v>503</v>
      </c>
      <c r="S33" s="6">
        <v>1.96</v>
      </c>
      <c r="T33" s="9">
        <f t="shared" ca="1" si="3"/>
        <v>46296</v>
      </c>
      <c r="U33" s="6">
        <f t="shared" ca="1" si="4"/>
        <v>-639</v>
      </c>
      <c r="V33" s="6" t="str">
        <f t="shared" ca="1" si="5"/>
        <v>Pre contrato</v>
      </c>
      <c r="W33" s="34">
        <f t="shared" si="6"/>
        <v>180000</v>
      </c>
      <c r="X33" s="34">
        <f t="shared" si="7"/>
        <v>390000</v>
      </c>
    </row>
    <row r="34" spans="1:24">
      <c r="A34" s="6" t="s">
        <v>54</v>
      </c>
      <c r="B34" t="s">
        <v>313</v>
      </c>
      <c r="C34" s="6" t="s">
        <v>313</v>
      </c>
      <c r="D34" s="6" t="s">
        <v>305</v>
      </c>
      <c r="E34">
        <f t="shared" ca="1" si="0"/>
        <v>24</v>
      </c>
      <c r="F34" s="11">
        <v>37381</v>
      </c>
      <c r="G34" s="9">
        <v>45292</v>
      </c>
      <c r="H34" s="9">
        <v>45657</v>
      </c>
      <c r="I34" s="12">
        <v>21000</v>
      </c>
      <c r="J34" s="6" t="s">
        <v>369</v>
      </c>
      <c r="K34" s="6" t="s">
        <v>495</v>
      </c>
      <c r="L34" s="6">
        <v>0</v>
      </c>
      <c r="M34" s="6">
        <v>0</v>
      </c>
      <c r="N34" s="12">
        <v>15000</v>
      </c>
      <c r="O34" s="24">
        <f t="shared" si="1"/>
        <v>52500</v>
      </c>
      <c r="P34" s="6" t="s">
        <v>493</v>
      </c>
      <c r="Q34">
        <f t="shared" ca="1" si="2"/>
        <v>160000</v>
      </c>
      <c r="R34" s="6" t="s">
        <v>503</v>
      </c>
      <c r="S34" s="6">
        <v>1.87</v>
      </c>
      <c r="T34" s="9">
        <f t="shared" ca="1" si="3"/>
        <v>46296</v>
      </c>
      <c r="U34" s="6">
        <f t="shared" ref="U34:U65" ca="1" si="8">_xlfn.DAYS(H34,T34)</f>
        <v>-639</v>
      </c>
      <c r="V34" s="6" t="str">
        <f t="shared" ca="1" si="5"/>
        <v>Pre contrato</v>
      </c>
      <c r="W34" s="34">
        <f t="shared" si="6"/>
        <v>126000</v>
      </c>
      <c r="X34" s="34">
        <f t="shared" si="7"/>
        <v>273000</v>
      </c>
    </row>
    <row r="35" spans="1:24">
      <c r="A35" s="6" t="s">
        <v>55</v>
      </c>
      <c r="B35" t="s">
        <v>313</v>
      </c>
      <c r="C35" s="6" t="s">
        <v>313</v>
      </c>
      <c r="D35" s="6" t="s">
        <v>305</v>
      </c>
      <c r="E35">
        <f t="shared" ca="1" si="0"/>
        <v>33</v>
      </c>
      <c r="F35" s="11">
        <v>33956</v>
      </c>
      <c r="G35" s="9">
        <v>45292</v>
      </c>
      <c r="H35" s="9">
        <v>45657</v>
      </c>
      <c r="I35" s="12">
        <v>41000</v>
      </c>
      <c r="J35" s="6" t="s">
        <v>352</v>
      </c>
      <c r="K35" s="6" t="s">
        <v>492</v>
      </c>
      <c r="L35" s="6">
        <v>1</v>
      </c>
      <c r="M35" s="6">
        <v>12</v>
      </c>
      <c r="N35" s="12">
        <v>24000</v>
      </c>
      <c r="O35" s="24">
        <f t="shared" si="1"/>
        <v>84000</v>
      </c>
      <c r="P35" s="6" t="s">
        <v>497</v>
      </c>
      <c r="Q35">
        <f t="shared" ca="1" si="2"/>
        <v>100000</v>
      </c>
      <c r="R35" s="6" t="s">
        <v>506</v>
      </c>
      <c r="S35" s="6">
        <v>1.9</v>
      </c>
      <c r="T35" s="9">
        <f t="shared" ca="1" si="3"/>
        <v>46296</v>
      </c>
      <c r="U35" s="6">
        <f t="shared" ca="1" si="8"/>
        <v>-639</v>
      </c>
      <c r="V35" s="6" t="str">
        <f t="shared" ca="1" si="5"/>
        <v>Pre contrato</v>
      </c>
      <c r="W35" s="34">
        <f t="shared" si="6"/>
        <v>246000</v>
      </c>
      <c r="X35" s="34">
        <f t="shared" si="7"/>
        <v>533000</v>
      </c>
    </row>
    <row r="36" spans="1:24">
      <c r="A36" s="6" t="s">
        <v>56</v>
      </c>
      <c r="B36" t="s">
        <v>313</v>
      </c>
      <c r="C36" s="6" t="s">
        <v>313</v>
      </c>
      <c r="D36" s="6" t="s">
        <v>305</v>
      </c>
      <c r="E36">
        <f t="shared" ca="1" si="0"/>
        <v>26</v>
      </c>
      <c r="F36" s="11">
        <v>36470</v>
      </c>
      <c r="G36" s="9">
        <v>45296</v>
      </c>
      <c r="H36" s="9">
        <v>46387</v>
      </c>
      <c r="I36" s="12">
        <v>27000</v>
      </c>
      <c r="J36" s="6" t="s">
        <v>370</v>
      </c>
      <c r="K36" s="6" t="s">
        <v>492</v>
      </c>
      <c r="L36" s="6">
        <v>0</v>
      </c>
      <c r="M36" s="6">
        <v>0</v>
      </c>
      <c r="N36" s="12">
        <v>240000</v>
      </c>
      <c r="O36" s="24">
        <f t="shared" si="1"/>
        <v>840000</v>
      </c>
      <c r="P36" s="6" t="s">
        <v>493</v>
      </c>
      <c r="Q36">
        <f t="shared" ca="1" si="2"/>
        <v>120000</v>
      </c>
      <c r="R36" s="6" t="s">
        <v>503</v>
      </c>
      <c r="S36" s="6">
        <v>1.95</v>
      </c>
      <c r="T36" s="9">
        <f t="shared" ca="1" si="3"/>
        <v>46296</v>
      </c>
      <c r="U36" s="6">
        <f t="shared" ca="1" si="8"/>
        <v>91</v>
      </c>
      <c r="V36" s="6" t="str">
        <f t="shared" ca="1" si="5"/>
        <v>Pre contrato</v>
      </c>
      <c r="W36" s="34">
        <f t="shared" si="6"/>
        <v>162000</v>
      </c>
      <c r="X36" s="34">
        <f t="shared" si="7"/>
        <v>351000</v>
      </c>
    </row>
    <row r="37" spans="1:24">
      <c r="A37" s="6" t="s">
        <v>57</v>
      </c>
      <c r="B37" t="s">
        <v>313</v>
      </c>
      <c r="C37" s="6" t="s">
        <v>313</v>
      </c>
      <c r="D37" s="6" t="s">
        <v>305</v>
      </c>
      <c r="E37">
        <f t="shared" ca="1" si="0"/>
        <v>33</v>
      </c>
      <c r="F37" s="13">
        <v>34221</v>
      </c>
      <c r="G37" s="9">
        <v>45139</v>
      </c>
      <c r="H37" s="9">
        <v>45657</v>
      </c>
      <c r="I37" s="12">
        <v>46000</v>
      </c>
      <c r="J37" s="6" t="s">
        <v>371</v>
      </c>
      <c r="K37" s="6" t="s">
        <v>492</v>
      </c>
      <c r="L37" s="6">
        <v>0</v>
      </c>
      <c r="M37" s="6">
        <v>0</v>
      </c>
      <c r="N37" s="12">
        <v>100000</v>
      </c>
      <c r="O37" s="24">
        <f t="shared" si="1"/>
        <v>350000</v>
      </c>
      <c r="P37" s="6" t="s">
        <v>493</v>
      </c>
      <c r="Q37">
        <f t="shared" ca="1" si="2"/>
        <v>100000</v>
      </c>
      <c r="R37" s="6" t="s">
        <v>507</v>
      </c>
      <c r="S37" s="6">
        <v>1.89</v>
      </c>
      <c r="T37" s="9">
        <f t="shared" ca="1" si="3"/>
        <v>46296</v>
      </c>
      <c r="U37" s="6">
        <f t="shared" ca="1" si="8"/>
        <v>-639</v>
      </c>
      <c r="V37" s="6" t="str">
        <f t="shared" ca="1" si="5"/>
        <v>Pre contrato</v>
      </c>
      <c r="W37" s="34">
        <f t="shared" si="6"/>
        <v>276000</v>
      </c>
      <c r="X37" s="34">
        <f t="shared" si="7"/>
        <v>598000</v>
      </c>
    </row>
    <row r="38" spans="1:24">
      <c r="A38" s="6" t="s">
        <v>58</v>
      </c>
      <c r="B38" t="s">
        <v>313</v>
      </c>
      <c r="C38" s="6" t="s">
        <v>313</v>
      </c>
      <c r="D38" s="6" t="s">
        <v>305</v>
      </c>
      <c r="E38">
        <f t="shared" ca="1" si="0"/>
        <v>31</v>
      </c>
      <c r="F38" s="11">
        <v>34649</v>
      </c>
      <c r="G38" s="9">
        <v>45537</v>
      </c>
      <c r="H38" s="9">
        <v>45657</v>
      </c>
      <c r="I38" s="12">
        <v>26000</v>
      </c>
      <c r="J38" s="6" t="s">
        <v>372</v>
      </c>
      <c r="K38" s="6" t="s">
        <v>492</v>
      </c>
      <c r="L38" s="6">
        <v>2</v>
      </c>
      <c r="M38" s="6">
        <v>25</v>
      </c>
      <c r="N38" s="12">
        <v>120000</v>
      </c>
      <c r="O38" s="24">
        <f t="shared" si="1"/>
        <v>420000</v>
      </c>
      <c r="P38" s="6" t="s">
        <v>493</v>
      </c>
      <c r="Q38">
        <f t="shared" ca="1" si="2"/>
        <v>100000</v>
      </c>
      <c r="R38" s="6" t="s">
        <v>505</v>
      </c>
      <c r="S38" s="6">
        <v>1.91</v>
      </c>
      <c r="T38" s="9">
        <f t="shared" ca="1" si="3"/>
        <v>46296</v>
      </c>
      <c r="U38" s="6">
        <f t="shared" ca="1" si="8"/>
        <v>-639</v>
      </c>
      <c r="V38" s="6" t="str">
        <f t="shared" ca="1" si="5"/>
        <v>Pre contrato</v>
      </c>
      <c r="W38" s="34">
        <f t="shared" si="6"/>
        <v>156000</v>
      </c>
      <c r="X38" s="34">
        <f t="shared" si="7"/>
        <v>338000</v>
      </c>
    </row>
    <row r="39" spans="1:24" ht="14.4">
      <c r="A39" s="6" t="s">
        <v>59</v>
      </c>
      <c r="B39" t="s">
        <v>313</v>
      </c>
      <c r="C39" s="6" t="s">
        <v>313</v>
      </c>
      <c r="D39" s="6" t="s">
        <v>305</v>
      </c>
      <c r="E39">
        <f t="shared" ca="1" si="0"/>
        <v>29</v>
      </c>
      <c r="F39" s="11">
        <v>35521</v>
      </c>
      <c r="G39" s="9">
        <v>45296</v>
      </c>
      <c r="H39" s="9">
        <v>45657</v>
      </c>
      <c r="I39" s="12">
        <v>14000</v>
      </c>
      <c r="J39" s="8" t="s">
        <v>348</v>
      </c>
      <c r="K39" s="6" t="s">
        <v>492</v>
      </c>
      <c r="L39" s="6">
        <v>1</v>
      </c>
      <c r="M39" s="6">
        <v>8</v>
      </c>
      <c r="N39" s="12">
        <v>130000</v>
      </c>
      <c r="O39" s="24">
        <f t="shared" si="1"/>
        <v>455000</v>
      </c>
      <c r="P39" s="6" t="s">
        <v>493</v>
      </c>
      <c r="Q39">
        <f t="shared" ca="1" si="2"/>
        <v>120000</v>
      </c>
      <c r="R39" s="6" t="s">
        <v>503</v>
      </c>
      <c r="S39" s="6">
        <v>1.93</v>
      </c>
      <c r="T39" s="9">
        <f t="shared" ca="1" si="3"/>
        <v>46296</v>
      </c>
      <c r="U39" s="6">
        <f t="shared" ca="1" si="8"/>
        <v>-639</v>
      </c>
      <c r="V39" s="6" t="str">
        <f t="shared" ca="1" si="5"/>
        <v>Pre contrato</v>
      </c>
      <c r="W39" s="34">
        <f t="shared" si="6"/>
        <v>84000</v>
      </c>
      <c r="X39" s="34">
        <f t="shared" si="7"/>
        <v>182000</v>
      </c>
    </row>
    <row r="40" spans="1:24">
      <c r="A40" s="6" t="s">
        <v>60</v>
      </c>
      <c r="B40" t="s">
        <v>313</v>
      </c>
      <c r="C40" s="6" t="s">
        <v>316</v>
      </c>
      <c r="D40" s="6" t="s">
        <v>305</v>
      </c>
      <c r="E40">
        <f t="shared" ca="1" si="0"/>
        <v>23</v>
      </c>
      <c r="F40" s="11">
        <v>37771</v>
      </c>
      <c r="G40" s="9">
        <v>45400</v>
      </c>
      <c r="H40" s="9">
        <v>45657</v>
      </c>
      <c r="I40" s="12">
        <v>32000</v>
      </c>
      <c r="J40" s="6" t="s">
        <v>348</v>
      </c>
      <c r="K40" s="6" t="s">
        <v>492</v>
      </c>
      <c r="L40" s="6">
        <v>0</v>
      </c>
      <c r="M40" s="6">
        <v>0</v>
      </c>
      <c r="N40" s="12">
        <v>83000</v>
      </c>
      <c r="O40" s="24">
        <f t="shared" si="1"/>
        <v>290500</v>
      </c>
      <c r="P40" s="6" t="s">
        <v>497</v>
      </c>
      <c r="Q40">
        <f t="shared" ca="1" si="2"/>
        <v>160000</v>
      </c>
      <c r="R40" s="6" t="s">
        <v>503</v>
      </c>
      <c r="S40" s="15">
        <v>1.93</v>
      </c>
      <c r="T40" s="9">
        <f t="shared" ca="1" si="3"/>
        <v>46296</v>
      </c>
      <c r="U40" s="6">
        <f t="shared" ca="1" si="8"/>
        <v>-639</v>
      </c>
      <c r="V40" s="6" t="str">
        <f t="shared" ca="1" si="5"/>
        <v>Pre contrato</v>
      </c>
      <c r="W40" s="34">
        <f t="shared" si="6"/>
        <v>192000</v>
      </c>
      <c r="X40" s="34">
        <f t="shared" si="7"/>
        <v>416000</v>
      </c>
    </row>
    <row r="41" spans="1:24">
      <c r="A41" s="6" t="s">
        <v>61</v>
      </c>
      <c r="B41" t="s">
        <v>313</v>
      </c>
      <c r="C41" s="6" t="s">
        <v>317</v>
      </c>
      <c r="D41" s="6" t="s">
        <v>305</v>
      </c>
      <c r="E41">
        <f t="shared" ca="1" si="0"/>
        <v>23</v>
      </c>
      <c r="F41" s="11">
        <v>37771</v>
      </c>
      <c r="G41" s="9">
        <v>45399</v>
      </c>
      <c r="H41" s="9">
        <v>45657</v>
      </c>
      <c r="I41" s="12">
        <v>16000</v>
      </c>
      <c r="J41" s="6" t="s">
        <v>373</v>
      </c>
      <c r="K41" s="6" t="s">
        <v>492</v>
      </c>
      <c r="L41" s="6">
        <v>0</v>
      </c>
      <c r="M41" s="6">
        <v>0</v>
      </c>
      <c r="N41" s="12">
        <v>23000</v>
      </c>
      <c r="O41" s="24">
        <f t="shared" si="1"/>
        <v>80500</v>
      </c>
      <c r="P41" s="6" t="s">
        <v>493</v>
      </c>
      <c r="Q41">
        <f t="shared" ca="1" si="2"/>
        <v>160000</v>
      </c>
      <c r="R41" s="6" t="s">
        <v>506</v>
      </c>
      <c r="S41" s="6">
        <v>1.92</v>
      </c>
      <c r="T41" s="9">
        <f t="shared" ca="1" si="3"/>
        <v>46296</v>
      </c>
      <c r="U41" s="6">
        <f t="shared" ca="1" si="8"/>
        <v>-639</v>
      </c>
      <c r="V41" s="6" t="str">
        <f t="shared" ca="1" si="5"/>
        <v>Pre contrato</v>
      </c>
      <c r="W41" s="34">
        <f t="shared" si="6"/>
        <v>96000</v>
      </c>
      <c r="X41" s="34">
        <f t="shared" si="7"/>
        <v>208000</v>
      </c>
    </row>
    <row r="42" spans="1:24">
      <c r="A42" s="6" t="s">
        <v>62</v>
      </c>
      <c r="B42" t="s">
        <v>313</v>
      </c>
      <c r="C42" s="6" t="s">
        <v>313</v>
      </c>
      <c r="D42" s="6" t="s">
        <v>318</v>
      </c>
      <c r="E42">
        <f t="shared" ca="1" si="0"/>
        <v>25</v>
      </c>
      <c r="F42" s="11">
        <v>36853</v>
      </c>
      <c r="G42" s="9">
        <v>45331</v>
      </c>
      <c r="H42" s="9">
        <v>45657</v>
      </c>
      <c r="I42" s="12">
        <v>52000</v>
      </c>
      <c r="J42" s="6" t="s">
        <v>374</v>
      </c>
      <c r="K42" s="6" t="s">
        <v>496</v>
      </c>
      <c r="L42" s="6">
        <v>1</v>
      </c>
      <c r="M42" s="6">
        <v>12</v>
      </c>
      <c r="N42" s="12">
        <v>12000</v>
      </c>
      <c r="O42" s="24">
        <f t="shared" si="1"/>
        <v>42000</v>
      </c>
      <c r="P42" s="6" t="s">
        <v>497</v>
      </c>
      <c r="Q42">
        <f t="shared" ca="1" si="2"/>
        <v>120000</v>
      </c>
      <c r="R42" s="6" t="s">
        <v>503</v>
      </c>
      <c r="S42" s="6">
        <v>1.78</v>
      </c>
      <c r="T42" s="9">
        <f t="shared" ca="1" si="3"/>
        <v>46296</v>
      </c>
      <c r="U42" s="6">
        <f t="shared" ca="1" si="8"/>
        <v>-639</v>
      </c>
      <c r="V42" s="6" t="str">
        <f t="shared" ca="1" si="5"/>
        <v>Pre contrato</v>
      </c>
      <c r="W42" s="34">
        <f t="shared" si="6"/>
        <v>312000</v>
      </c>
      <c r="X42" s="34">
        <f t="shared" si="7"/>
        <v>676000</v>
      </c>
    </row>
    <row r="43" spans="1:24">
      <c r="A43" s="6" t="s">
        <v>63</v>
      </c>
      <c r="B43" t="s">
        <v>313</v>
      </c>
      <c r="C43" s="6" t="s">
        <v>313</v>
      </c>
      <c r="D43" s="6" t="s">
        <v>305</v>
      </c>
      <c r="E43">
        <f t="shared" ca="1" si="0"/>
        <v>28</v>
      </c>
      <c r="F43" s="11">
        <v>35710</v>
      </c>
      <c r="G43" s="9">
        <v>45519</v>
      </c>
      <c r="H43" s="9">
        <v>47118</v>
      </c>
      <c r="I43" s="12">
        <v>31000</v>
      </c>
      <c r="J43" s="6" t="s">
        <v>373</v>
      </c>
      <c r="K43" s="6" t="s">
        <v>496</v>
      </c>
      <c r="L43" s="6">
        <v>0</v>
      </c>
      <c r="M43" s="6">
        <v>0</v>
      </c>
      <c r="N43" s="12">
        <v>47500</v>
      </c>
      <c r="O43" s="24">
        <f t="shared" si="1"/>
        <v>166250</v>
      </c>
      <c r="P43" s="6" t="s">
        <v>497</v>
      </c>
      <c r="Q43">
        <f t="shared" ca="1" si="2"/>
        <v>120000</v>
      </c>
      <c r="R43" s="6" t="s">
        <v>506</v>
      </c>
      <c r="S43" s="6">
        <v>1.76</v>
      </c>
      <c r="T43" s="9">
        <f t="shared" ca="1" si="3"/>
        <v>46296</v>
      </c>
      <c r="U43" s="6">
        <f t="shared" ca="1" si="8"/>
        <v>822</v>
      </c>
      <c r="V43" s="6" t="str">
        <f t="shared" ca="1" si="5"/>
        <v>Com Contrato em vigor</v>
      </c>
      <c r="W43" s="34">
        <f t="shared" si="6"/>
        <v>186000</v>
      </c>
      <c r="X43" s="34">
        <f t="shared" si="7"/>
        <v>403000</v>
      </c>
    </row>
    <row r="44" spans="1:24">
      <c r="A44" s="6" t="s">
        <v>64</v>
      </c>
      <c r="B44" t="s">
        <v>313</v>
      </c>
      <c r="C44" s="6" t="s">
        <v>313</v>
      </c>
      <c r="D44" s="6" t="s">
        <v>305</v>
      </c>
      <c r="E44">
        <f t="shared" ca="1" si="0"/>
        <v>31</v>
      </c>
      <c r="F44" s="11">
        <v>34763</v>
      </c>
      <c r="G44" s="9">
        <v>44928</v>
      </c>
      <c r="H44" s="9">
        <v>45657</v>
      </c>
      <c r="I44" s="12">
        <v>23000</v>
      </c>
      <c r="J44" s="6" t="s">
        <v>373</v>
      </c>
      <c r="K44" s="6" t="s">
        <v>498</v>
      </c>
      <c r="L44" s="6">
        <v>0</v>
      </c>
      <c r="M44" s="6">
        <v>0</v>
      </c>
      <c r="N44" s="12">
        <v>26500</v>
      </c>
      <c r="O44" s="24">
        <f t="shared" si="1"/>
        <v>92750</v>
      </c>
      <c r="P44" s="6" t="s">
        <v>493</v>
      </c>
      <c r="Q44">
        <f t="shared" ca="1" si="2"/>
        <v>100000</v>
      </c>
      <c r="R44" s="6" t="s">
        <v>506</v>
      </c>
      <c r="S44" s="6">
        <v>1.8</v>
      </c>
      <c r="T44" s="9">
        <f t="shared" ca="1" si="3"/>
        <v>46296</v>
      </c>
      <c r="U44" s="6">
        <f t="shared" ca="1" si="8"/>
        <v>-639</v>
      </c>
      <c r="V44" s="6" t="str">
        <f t="shared" ca="1" si="5"/>
        <v>Pre contrato</v>
      </c>
      <c r="W44" s="34">
        <f t="shared" si="6"/>
        <v>138000</v>
      </c>
      <c r="X44" s="34">
        <f t="shared" si="7"/>
        <v>299000</v>
      </c>
    </row>
    <row r="45" spans="1:24">
      <c r="A45" s="6" t="s">
        <v>65</v>
      </c>
      <c r="B45" t="s">
        <v>313</v>
      </c>
      <c r="C45" s="6" t="s">
        <v>313</v>
      </c>
      <c r="D45" s="6" t="s">
        <v>305</v>
      </c>
      <c r="E45">
        <f t="shared" ca="1" si="0"/>
        <v>26</v>
      </c>
      <c r="F45" s="11">
        <v>36755</v>
      </c>
      <c r="G45" s="9">
        <v>45518</v>
      </c>
      <c r="H45" s="9">
        <v>45869</v>
      </c>
      <c r="I45" s="12">
        <v>19000</v>
      </c>
      <c r="J45" s="6" t="s">
        <v>375</v>
      </c>
      <c r="K45" s="6" t="s">
        <v>498</v>
      </c>
      <c r="L45" s="6">
        <v>0</v>
      </c>
      <c r="M45" s="6">
        <v>0</v>
      </c>
      <c r="N45" s="12">
        <v>23000</v>
      </c>
      <c r="O45" s="24">
        <f t="shared" si="1"/>
        <v>80500</v>
      </c>
      <c r="P45" s="6" t="s">
        <v>493</v>
      </c>
      <c r="Q45">
        <f t="shared" ca="1" si="2"/>
        <v>120000</v>
      </c>
      <c r="R45" s="6" t="s">
        <v>503</v>
      </c>
      <c r="S45" s="6">
        <v>1.78</v>
      </c>
      <c r="T45" s="9">
        <f t="shared" ca="1" si="3"/>
        <v>46296</v>
      </c>
      <c r="U45" s="6">
        <f t="shared" ca="1" si="8"/>
        <v>-427</v>
      </c>
      <c r="V45" s="6" t="str">
        <f t="shared" ca="1" si="5"/>
        <v>Pre contrato</v>
      </c>
      <c r="W45" s="34">
        <f t="shared" si="6"/>
        <v>114000</v>
      </c>
      <c r="X45" s="34">
        <f t="shared" si="7"/>
        <v>247000</v>
      </c>
    </row>
    <row r="46" spans="1:24">
      <c r="A46" s="6" t="s">
        <v>66</v>
      </c>
      <c r="B46" t="s">
        <v>313</v>
      </c>
      <c r="C46" s="6" t="s">
        <v>313</v>
      </c>
      <c r="D46" s="6" t="s">
        <v>305</v>
      </c>
      <c r="E46">
        <f t="shared" ca="1" si="0"/>
        <v>34</v>
      </c>
      <c r="F46" s="13">
        <v>33609</v>
      </c>
      <c r="G46" s="9">
        <v>45292</v>
      </c>
      <c r="H46" s="9">
        <v>45657</v>
      </c>
      <c r="I46" s="12">
        <v>12390</v>
      </c>
      <c r="J46" s="6" t="s">
        <v>348</v>
      </c>
      <c r="K46" s="6" t="s">
        <v>498</v>
      </c>
      <c r="L46" s="6">
        <v>1</v>
      </c>
      <c r="M46" s="6">
        <v>200</v>
      </c>
      <c r="N46" s="12">
        <v>54000</v>
      </c>
      <c r="O46" s="24">
        <f t="shared" si="1"/>
        <v>189000</v>
      </c>
      <c r="P46" s="6" t="s">
        <v>493</v>
      </c>
      <c r="Q46">
        <f t="shared" ca="1" si="2"/>
        <v>100000</v>
      </c>
      <c r="R46" s="6" t="s">
        <v>503</v>
      </c>
      <c r="S46" s="6">
        <v>1.75</v>
      </c>
      <c r="T46" s="9">
        <f t="shared" ca="1" si="3"/>
        <v>46296</v>
      </c>
      <c r="U46" s="6">
        <f t="shared" ca="1" si="8"/>
        <v>-639</v>
      </c>
      <c r="V46" s="6" t="str">
        <f t="shared" ca="1" si="5"/>
        <v>Pre contrato</v>
      </c>
      <c r="W46" s="34">
        <f t="shared" si="6"/>
        <v>74340</v>
      </c>
      <c r="X46" s="34">
        <f t="shared" si="7"/>
        <v>161070</v>
      </c>
    </row>
    <row r="47" spans="1:24">
      <c r="A47" s="6" t="s">
        <v>67</v>
      </c>
      <c r="B47" t="s">
        <v>313</v>
      </c>
      <c r="C47" s="6" t="s">
        <v>313</v>
      </c>
      <c r="D47" s="6" t="s">
        <v>305</v>
      </c>
      <c r="E47">
        <f t="shared" ca="1" si="0"/>
        <v>27</v>
      </c>
      <c r="F47" s="13">
        <v>36265</v>
      </c>
      <c r="G47" s="9">
        <v>45314</v>
      </c>
      <c r="H47" s="9">
        <v>45657</v>
      </c>
      <c r="I47" s="17">
        <v>8000</v>
      </c>
      <c r="J47" s="6" t="s">
        <v>376</v>
      </c>
      <c r="K47" s="6" t="s">
        <v>494</v>
      </c>
      <c r="L47" s="6">
        <v>1</v>
      </c>
      <c r="M47" s="6">
        <v>124</v>
      </c>
      <c r="N47" s="12">
        <v>368000</v>
      </c>
      <c r="O47" s="24">
        <f t="shared" si="1"/>
        <v>1288000</v>
      </c>
      <c r="P47" s="6" t="s">
        <v>493</v>
      </c>
      <c r="Q47">
        <f t="shared" ca="1" si="2"/>
        <v>120000</v>
      </c>
      <c r="R47" s="6" t="s">
        <v>506</v>
      </c>
      <c r="S47" s="6">
        <v>1.74</v>
      </c>
      <c r="T47" s="9">
        <f t="shared" ca="1" si="3"/>
        <v>46296</v>
      </c>
      <c r="U47" s="6">
        <f t="shared" ca="1" si="8"/>
        <v>-639</v>
      </c>
      <c r="V47" s="6" t="str">
        <f t="shared" ca="1" si="5"/>
        <v>Pre contrato</v>
      </c>
      <c r="W47" s="34">
        <f t="shared" si="6"/>
        <v>48000</v>
      </c>
      <c r="X47" s="34">
        <f t="shared" si="7"/>
        <v>104000</v>
      </c>
    </row>
    <row r="48" spans="1:24">
      <c r="A48" s="6" t="s">
        <v>68</v>
      </c>
      <c r="B48" t="s">
        <v>313</v>
      </c>
      <c r="C48" s="6" t="s">
        <v>313</v>
      </c>
      <c r="D48" s="6" t="s">
        <v>305</v>
      </c>
      <c r="E48">
        <f t="shared" ca="1" si="0"/>
        <v>34</v>
      </c>
      <c r="F48" s="11">
        <v>33698</v>
      </c>
      <c r="G48" s="9">
        <v>45357</v>
      </c>
      <c r="H48" s="9">
        <v>45657</v>
      </c>
      <c r="I48" s="12">
        <v>45657</v>
      </c>
      <c r="J48" s="15" t="s">
        <v>377</v>
      </c>
      <c r="K48" s="6" t="s">
        <v>494</v>
      </c>
      <c r="L48" s="6">
        <v>0</v>
      </c>
      <c r="M48" s="6">
        <v>0</v>
      </c>
      <c r="N48" s="17">
        <v>10000</v>
      </c>
      <c r="O48" s="24">
        <f t="shared" si="1"/>
        <v>35000</v>
      </c>
      <c r="P48" s="6" t="s">
        <v>493</v>
      </c>
      <c r="Q48">
        <f t="shared" ca="1" si="2"/>
        <v>100000</v>
      </c>
      <c r="R48" s="6" t="s">
        <v>503</v>
      </c>
      <c r="S48" s="6">
        <v>1.78</v>
      </c>
      <c r="T48" s="9">
        <f t="shared" ca="1" si="3"/>
        <v>46296</v>
      </c>
      <c r="U48" s="6">
        <f t="shared" ca="1" si="8"/>
        <v>-639</v>
      </c>
      <c r="V48" s="6" t="str">
        <f t="shared" ca="1" si="5"/>
        <v>Pre contrato</v>
      </c>
      <c r="W48" s="34">
        <f t="shared" si="6"/>
        <v>273942</v>
      </c>
      <c r="X48" s="34">
        <f t="shared" si="7"/>
        <v>593541</v>
      </c>
    </row>
    <row r="49" spans="1:24">
      <c r="A49" s="6" t="s">
        <v>69</v>
      </c>
      <c r="B49" t="s">
        <v>313</v>
      </c>
      <c r="C49" s="6" t="s">
        <v>313</v>
      </c>
      <c r="D49" s="6" t="s">
        <v>305</v>
      </c>
      <c r="E49">
        <f t="shared" ca="1" si="0"/>
        <v>27</v>
      </c>
      <c r="F49" s="13">
        <v>36119</v>
      </c>
      <c r="G49" s="9">
        <v>44761</v>
      </c>
      <c r="H49" s="9">
        <v>45838</v>
      </c>
      <c r="I49" s="12">
        <v>21000</v>
      </c>
      <c r="J49" s="15" t="s">
        <v>363</v>
      </c>
      <c r="K49" s="6" t="s">
        <v>494</v>
      </c>
      <c r="L49" s="6">
        <v>0</v>
      </c>
      <c r="M49" s="6">
        <v>0</v>
      </c>
      <c r="N49" s="12">
        <v>23000</v>
      </c>
      <c r="O49" s="24">
        <f t="shared" si="1"/>
        <v>80500</v>
      </c>
      <c r="P49" s="6" t="s">
        <v>493</v>
      </c>
      <c r="Q49">
        <f t="shared" ca="1" si="2"/>
        <v>120000</v>
      </c>
      <c r="R49" s="6" t="s">
        <v>503</v>
      </c>
      <c r="S49" s="6">
        <v>1.84</v>
      </c>
      <c r="T49" s="9">
        <f t="shared" ca="1" si="3"/>
        <v>46296</v>
      </c>
      <c r="U49" s="6">
        <f t="shared" ca="1" si="8"/>
        <v>-458</v>
      </c>
      <c r="V49" s="6" t="str">
        <f t="shared" ca="1" si="5"/>
        <v>Pre contrato</v>
      </c>
      <c r="W49" s="34">
        <f t="shared" si="6"/>
        <v>126000</v>
      </c>
      <c r="X49" s="34">
        <f t="shared" si="7"/>
        <v>273000</v>
      </c>
    </row>
    <row r="50" spans="1:24">
      <c r="A50" s="6" t="s">
        <v>70</v>
      </c>
      <c r="B50" t="s">
        <v>313</v>
      </c>
      <c r="C50" s="6" t="s">
        <v>313</v>
      </c>
      <c r="D50" s="6" t="s">
        <v>319</v>
      </c>
      <c r="E50">
        <f t="shared" ca="1" si="0"/>
        <v>34</v>
      </c>
      <c r="F50" s="11">
        <v>33513</v>
      </c>
      <c r="G50" s="9">
        <v>45495</v>
      </c>
      <c r="H50" s="9">
        <v>45657</v>
      </c>
      <c r="I50" s="12">
        <v>7000</v>
      </c>
      <c r="J50" s="6" t="s">
        <v>348</v>
      </c>
      <c r="K50" s="6" t="s">
        <v>501</v>
      </c>
      <c r="L50" s="6">
        <v>0</v>
      </c>
      <c r="M50" s="6">
        <v>0</v>
      </c>
      <c r="N50" s="12">
        <v>48700</v>
      </c>
      <c r="O50" s="24">
        <f t="shared" si="1"/>
        <v>170450</v>
      </c>
      <c r="P50" s="6" t="s">
        <v>493</v>
      </c>
      <c r="Q50">
        <f t="shared" ca="1" si="2"/>
        <v>100000</v>
      </c>
      <c r="R50" s="6" t="s">
        <v>506</v>
      </c>
      <c r="S50" s="6">
        <v>1.86</v>
      </c>
      <c r="T50" s="9">
        <f t="shared" ca="1" si="3"/>
        <v>46296</v>
      </c>
      <c r="U50" s="6">
        <f t="shared" ca="1" si="8"/>
        <v>-639</v>
      </c>
      <c r="V50" s="6" t="str">
        <f t="shared" ca="1" si="5"/>
        <v>Pre contrato</v>
      </c>
      <c r="W50" s="34">
        <f t="shared" si="6"/>
        <v>42000</v>
      </c>
      <c r="X50" s="34">
        <f t="shared" si="7"/>
        <v>91000</v>
      </c>
    </row>
    <row r="51" spans="1:24">
      <c r="A51" s="6" t="s">
        <v>71</v>
      </c>
      <c r="B51" t="s">
        <v>313</v>
      </c>
      <c r="C51" s="6" t="s">
        <v>315</v>
      </c>
      <c r="D51" s="6" t="s">
        <v>305</v>
      </c>
      <c r="E51">
        <f t="shared" ca="1" si="0"/>
        <v>27</v>
      </c>
      <c r="F51" s="11">
        <v>36078</v>
      </c>
      <c r="G51" s="9">
        <v>45125</v>
      </c>
      <c r="H51" s="9">
        <v>46022</v>
      </c>
      <c r="I51" s="12">
        <v>31000</v>
      </c>
      <c r="J51" s="15" t="s">
        <v>378</v>
      </c>
      <c r="K51" s="6" t="s">
        <v>494</v>
      </c>
      <c r="L51" s="6">
        <v>0</v>
      </c>
      <c r="M51" s="6">
        <v>0</v>
      </c>
      <c r="N51" s="12">
        <v>97000</v>
      </c>
      <c r="O51" s="24">
        <f t="shared" si="1"/>
        <v>339500</v>
      </c>
      <c r="P51" s="6" t="s">
        <v>493</v>
      </c>
      <c r="Q51">
        <f t="shared" ca="1" si="2"/>
        <v>120000</v>
      </c>
      <c r="R51" s="6" t="s">
        <v>503</v>
      </c>
      <c r="S51" s="6">
        <v>1.78</v>
      </c>
      <c r="T51" s="9">
        <f t="shared" ca="1" si="3"/>
        <v>46296</v>
      </c>
      <c r="U51" s="6">
        <f t="shared" ca="1" si="8"/>
        <v>-274</v>
      </c>
      <c r="V51" s="6" t="str">
        <f t="shared" ca="1" si="5"/>
        <v>Pre contrato</v>
      </c>
      <c r="W51" s="34">
        <f t="shared" si="6"/>
        <v>186000</v>
      </c>
      <c r="X51" s="34">
        <f t="shared" si="7"/>
        <v>403000</v>
      </c>
    </row>
    <row r="52" spans="1:24">
      <c r="A52" s="6" t="s">
        <v>72</v>
      </c>
      <c r="B52" t="s">
        <v>313</v>
      </c>
      <c r="C52" s="6" t="s">
        <v>313</v>
      </c>
      <c r="D52" s="6" t="s">
        <v>305</v>
      </c>
      <c r="E52">
        <f t="shared" ca="1" si="0"/>
        <v>29</v>
      </c>
      <c r="F52" s="11">
        <v>35547</v>
      </c>
      <c r="G52" s="9">
        <v>44589</v>
      </c>
      <c r="H52" s="9">
        <v>46022</v>
      </c>
      <c r="I52" s="12">
        <v>41000</v>
      </c>
      <c r="J52" s="6" t="s">
        <v>379</v>
      </c>
      <c r="K52" s="6" t="s">
        <v>499</v>
      </c>
      <c r="L52" s="6">
        <v>1</v>
      </c>
      <c r="M52" s="6">
        <v>23</v>
      </c>
      <c r="N52" s="12">
        <v>1000000</v>
      </c>
      <c r="O52" s="24">
        <f t="shared" si="1"/>
        <v>3500000</v>
      </c>
      <c r="P52" s="6" t="s">
        <v>497</v>
      </c>
      <c r="Q52">
        <f t="shared" ca="1" si="2"/>
        <v>120000</v>
      </c>
      <c r="R52" s="6" t="s">
        <v>506</v>
      </c>
      <c r="S52" s="6">
        <v>1.78</v>
      </c>
      <c r="T52" s="9">
        <f t="shared" ca="1" si="3"/>
        <v>46296</v>
      </c>
      <c r="U52" s="6">
        <f t="shared" ca="1" si="8"/>
        <v>-274</v>
      </c>
      <c r="V52" s="6" t="str">
        <f t="shared" ca="1" si="5"/>
        <v>Pre contrato</v>
      </c>
      <c r="W52" s="34">
        <f t="shared" si="6"/>
        <v>246000</v>
      </c>
      <c r="X52" s="34">
        <f t="shared" si="7"/>
        <v>533000</v>
      </c>
    </row>
    <row r="53" spans="1:24">
      <c r="A53" s="6" t="s">
        <v>73</v>
      </c>
      <c r="B53" t="s">
        <v>313</v>
      </c>
      <c r="C53" s="6" t="s">
        <v>313</v>
      </c>
      <c r="D53" s="6" t="s">
        <v>312</v>
      </c>
      <c r="E53">
        <f t="shared" ca="1" si="0"/>
        <v>29</v>
      </c>
      <c r="F53" s="11">
        <v>35436</v>
      </c>
      <c r="G53" s="9">
        <v>45295</v>
      </c>
      <c r="H53" s="9">
        <v>46022</v>
      </c>
      <c r="I53" s="12">
        <v>30000</v>
      </c>
      <c r="J53" s="6" t="s">
        <v>380</v>
      </c>
      <c r="K53" s="6" t="s">
        <v>499</v>
      </c>
      <c r="L53" s="6">
        <v>0</v>
      </c>
      <c r="M53" s="6">
        <v>0</v>
      </c>
      <c r="N53" s="12">
        <v>87000</v>
      </c>
      <c r="O53" s="24">
        <f t="shared" si="1"/>
        <v>304500</v>
      </c>
      <c r="P53" s="6" t="s">
        <v>493</v>
      </c>
      <c r="Q53">
        <f t="shared" ca="1" si="2"/>
        <v>120000</v>
      </c>
      <c r="R53" s="6" t="s">
        <v>503</v>
      </c>
      <c r="S53" s="6">
        <v>1.8</v>
      </c>
      <c r="T53" s="9">
        <f t="shared" ca="1" si="3"/>
        <v>46296</v>
      </c>
      <c r="U53" s="6">
        <f t="shared" ca="1" si="8"/>
        <v>-274</v>
      </c>
      <c r="V53" s="6" t="str">
        <f t="shared" ca="1" si="5"/>
        <v>Pre contrato</v>
      </c>
      <c r="W53" s="34">
        <f t="shared" si="6"/>
        <v>180000</v>
      </c>
      <c r="X53" s="34">
        <f t="shared" si="7"/>
        <v>390000</v>
      </c>
    </row>
    <row r="54" spans="1:24">
      <c r="A54" s="6" t="s">
        <v>74</v>
      </c>
      <c r="B54" t="s">
        <v>313</v>
      </c>
      <c r="C54" s="6" t="s">
        <v>313</v>
      </c>
      <c r="D54" s="6" t="s">
        <v>305</v>
      </c>
      <c r="E54">
        <f t="shared" ca="1" si="0"/>
        <v>35</v>
      </c>
      <c r="F54" s="11">
        <v>33243</v>
      </c>
      <c r="G54" s="9">
        <v>45499</v>
      </c>
      <c r="H54" s="9">
        <v>45657</v>
      </c>
      <c r="I54" s="12">
        <v>7000</v>
      </c>
      <c r="J54" s="6" t="s">
        <v>348</v>
      </c>
      <c r="K54" s="6" t="s">
        <v>499</v>
      </c>
      <c r="L54" s="6">
        <v>1</v>
      </c>
      <c r="M54" s="6">
        <v>22</v>
      </c>
      <c r="N54" s="12">
        <v>10000</v>
      </c>
      <c r="O54" s="24">
        <f t="shared" si="1"/>
        <v>35000</v>
      </c>
      <c r="P54" s="6" t="s">
        <v>493</v>
      </c>
      <c r="Q54">
        <f t="shared" ca="1" si="2"/>
        <v>100000</v>
      </c>
      <c r="R54" s="6" t="s">
        <v>506</v>
      </c>
      <c r="S54" s="6">
        <v>1.8</v>
      </c>
      <c r="T54" s="9">
        <f t="shared" ca="1" si="3"/>
        <v>46296</v>
      </c>
      <c r="U54" s="6">
        <f t="shared" ca="1" si="8"/>
        <v>-639</v>
      </c>
      <c r="V54" s="6" t="str">
        <f t="shared" ca="1" si="5"/>
        <v>Pre contrato</v>
      </c>
      <c r="W54" s="34">
        <f t="shared" si="6"/>
        <v>42000</v>
      </c>
      <c r="X54" s="34">
        <f t="shared" si="7"/>
        <v>91000</v>
      </c>
    </row>
    <row r="55" spans="1:24">
      <c r="A55" s="6" t="s">
        <v>75</v>
      </c>
      <c r="B55" t="s">
        <v>313</v>
      </c>
      <c r="C55" s="6" t="s">
        <v>313</v>
      </c>
      <c r="D55" s="6" t="s">
        <v>305</v>
      </c>
      <c r="E55">
        <f t="shared" ca="1" si="0"/>
        <v>29</v>
      </c>
      <c r="F55" s="11">
        <v>35354</v>
      </c>
      <c r="G55" s="9">
        <v>44663</v>
      </c>
      <c r="H55" s="9">
        <v>45657</v>
      </c>
      <c r="I55" s="12">
        <v>12000</v>
      </c>
      <c r="J55" s="15" t="s">
        <v>369</v>
      </c>
      <c r="K55" s="6" t="s">
        <v>500</v>
      </c>
      <c r="L55" s="6">
        <v>0</v>
      </c>
      <c r="M55" s="6">
        <v>0</v>
      </c>
      <c r="N55" s="12">
        <v>23000</v>
      </c>
      <c r="O55" s="24">
        <f t="shared" si="1"/>
        <v>80500</v>
      </c>
      <c r="P55" s="6" t="s">
        <v>497</v>
      </c>
      <c r="Q55">
        <f t="shared" ca="1" si="2"/>
        <v>120000</v>
      </c>
      <c r="R55" s="6" t="s">
        <v>503</v>
      </c>
      <c r="S55" s="6">
        <v>1.78</v>
      </c>
      <c r="T55" s="9">
        <f t="shared" ca="1" si="3"/>
        <v>46296</v>
      </c>
      <c r="U55" s="6">
        <f t="shared" ca="1" si="8"/>
        <v>-639</v>
      </c>
      <c r="V55" s="6" t="str">
        <f t="shared" ca="1" si="5"/>
        <v>Pre contrato</v>
      </c>
      <c r="W55" s="34">
        <f t="shared" si="6"/>
        <v>72000</v>
      </c>
      <c r="X55" s="34">
        <f t="shared" si="7"/>
        <v>156000</v>
      </c>
    </row>
    <row r="56" spans="1:24">
      <c r="A56" s="6" t="s">
        <v>76</v>
      </c>
      <c r="B56" t="s">
        <v>313</v>
      </c>
      <c r="C56" s="6" t="s">
        <v>313</v>
      </c>
      <c r="D56" s="6" t="s">
        <v>305</v>
      </c>
      <c r="E56">
        <f t="shared" ca="1" si="0"/>
        <v>27</v>
      </c>
      <c r="F56" s="11">
        <v>36217</v>
      </c>
      <c r="G56" s="9">
        <v>45490</v>
      </c>
      <c r="H56" s="9">
        <v>45657</v>
      </c>
      <c r="I56" s="12">
        <v>24120</v>
      </c>
      <c r="J56" s="6" t="s">
        <v>348</v>
      </c>
      <c r="K56" s="6" t="s">
        <v>500</v>
      </c>
      <c r="L56" s="6">
        <v>1</v>
      </c>
      <c r="M56" s="6">
        <v>43</v>
      </c>
      <c r="N56" s="12">
        <v>70000</v>
      </c>
      <c r="O56" s="24">
        <f t="shared" si="1"/>
        <v>245000</v>
      </c>
      <c r="P56" s="6" t="s">
        <v>493</v>
      </c>
      <c r="Q56">
        <f t="shared" ca="1" si="2"/>
        <v>120000</v>
      </c>
      <c r="R56" s="6" t="s">
        <v>503</v>
      </c>
      <c r="S56" s="6">
        <v>1.68</v>
      </c>
      <c r="T56" s="9">
        <f t="shared" ca="1" si="3"/>
        <v>46296</v>
      </c>
      <c r="U56" s="6">
        <f t="shared" ca="1" si="8"/>
        <v>-639</v>
      </c>
      <c r="V56" s="6" t="str">
        <f t="shared" ca="1" si="5"/>
        <v>Pre contrato</v>
      </c>
      <c r="W56" s="34">
        <f t="shared" si="6"/>
        <v>144720</v>
      </c>
      <c r="X56" s="34">
        <f t="shared" si="7"/>
        <v>313560</v>
      </c>
    </row>
    <row r="57" spans="1:24">
      <c r="A57" s="6" t="s">
        <v>77</v>
      </c>
      <c r="B57" t="s">
        <v>313</v>
      </c>
      <c r="C57" s="6" t="s">
        <v>313</v>
      </c>
      <c r="D57" s="6" t="s">
        <v>307</v>
      </c>
      <c r="E57">
        <f t="shared" ca="1" si="0"/>
        <v>23</v>
      </c>
      <c r="F57" s="11">
        <v>37553</v>
      </c>
      <c r="G57" s="9">
        <v>45534</v>
      </c>
      <c r="H57" s="9">
        <v>46022</v>
      </c>
      <c r="I57" s="12">
        <v>34000</v>
      </c>
      <c r="J57" t="s">
        <v>381</v>
      </c>
      <c r="K57" s="6" t="s">
        <v>500</v>
      </c>
      <c r="L57" s="6">
        <v>1</v>
      </c>
      <c r="M57" s="6">
        <v>12</v>
      </c>
      <c r="N57" s="12">
        <v>800000</v>
      </c>
      <c r="O57" s="24">
        <f t="shared" si="1"/>
        <v>2800000</v>
      </c>
      <c r="P57" s="6" t="s">
        <v>497</v>
      </c>
      <c r="Q57">
        <f t="shared" ca="1" si="2"/>
        <v>160000</v>
      </c>
      <c r="R57" s="6" t="s">
        <v>503</v>
      </c>
      <c r="S57" s="6">
        <v>1.68</v>
      </c>
      <c r="T57" s="9">
        <f t="shared" ca="1" si="3"/>
        <v>46296</v>
      </c>
      <c r="U57" s="6">
        <f t="shared" ca="1" si="8"/>
        <v>-274</v>
      </c>
      <c r="V57" s="6" t="str">
        <f t="shared" ca="1" si="5"/>
        <v>Pre contrato</v>
      </c>
      <c r="W57" s="34">
        <f t="shared" si="6"/>
        <v>204000</v>
      </c>
      <c r="X57" s="34">
        <f t="shared" si="7"/>
        <v>442000</v>
      </c>
    </row>
    <row r="58" spans="1:24">
      <c r="A58" s="6" t="s">
        <v>78</v>
      </c>
      <c r="B58" t="s">
        <v>313</v>
      </c>
      <c r="C58" s="6" t="s">
        <v>313</v>
      </c>
      <c r="D58" s="6" t="s">
        <v>319</v>
      </c>
      <c r="E58">
        <f t="shared" ca="1" si="0"/>
        <v>26</v>
      </c>
      <c r="F58" s="11">
        <v>36770</v>
      </c>
      <c r="G58" s="9">
        <v>45299</v>
      </c>
      <c r="H58" s="9">
        <v>45657</v>
      </c>
      <c r="I58" s="12">
        <v>34000</v>
      </c>
      <c r="J58" s="18" t="s">
        <v>382</v>
      </c>
      <c r="K58" s="6" t="s">
        <v>500</v>
      </c>
      <c r="L58" s="6">
        <v>0</v>
      </c>
      <c r="M58" s="6">
        <v>0</v>
      </c>
      <c r="N58" s="12">
        <v>86400</v>
      </c>
      <c r="O58" s="24">
        <f t="shared" si="1"/>
        <v>302400</v>
      </c>
      <c r="P58" s="6" t="s">
        <v>497</v>
      </c>
      <c r="Q58">
        <f t="shared" ca="1" si="2"/>
        <v>120000</v>
      </c>
      <c r="R58" s="6" t="s">
        <v>506</v>
      </c>
      <c r="S58" s="6">
        <v>1.7</v>
      </c>
      <c r="T58" s="9">
        <f t="shared" ca="1" si="3"/>
        <v>46296</v>
      </c>
      <c r="U58" s="6">
        <f t="shared" ca="1" si="8"/>
        <v>-639</v>
      </c>
      <c r="V58" s="6" t="str">
        <f t="shared" ca="1" si="5"/>
        <v>Pre contrato</v>
      </c>
      <c r="W58" s="34">
        <f t="shared" si="6"/>
        <v>204000</v>
      </c>
      <c r="X58" s="34">
        <f t="shared" si="7"/>
        <v>442000</v>
      </c>
    </row>
    <row r="59" spans="1:24">
      <c r="A59" s="6" t="s">
        <v>79</v>
      </c>
      <c r="B59" t="s">
        <v>313</v>
      </c>
      <c r="C59" s="6" t="s">
        <v>313</v>
      </c>
      <c r="D59" s="6" t="s">
        <v>305</v>
      </c>
      <c r="E59">
        <f t="shared" ca="1" si="0"/>
        <v>27</v>
      </c>
      <c r="F59" s="13">
        <v>36193</v>
      </c>
      <c r="G59" s="9">
        <v>44608</v>
      </c>
      <c r="H59" s="9">
        <v>45657</v>
      </c>
      <c r="I59" s="12">
        <v>19000</v>
      </c>
      <c r="J59" s="6" t="s">
        <v>383</v>
      </c>
      <c r="K59" s="6" t="s">
        <v>500</v>
      </c>
      <c r="L59" s="6">
        <v>3</v>
      </c>
      <c r="M59" s="6">
        <v>29</v>
      </c>
      <c r="N59" s="12">
        <v>100000</v>
      </c>
      <c r="O59" s="24">
        <f t="shared" si="1"/>
        <v>350000</v>
      </c>
      <c r="P59" s="6" t="s">
        <v>493</v>
      </c>
      <c r="Q59">
        <f t="shared" ca="1" si="2"/>
        <v>120000</v>
      </c>
      <c r="R59" s="6" t="s">
        <v>503</v>
      </c>
      <c r="S59" s="6">
        <v>1.78</v>
      </c>
      <c r="T59" s="9">
        <f t="shared" ca="1" si="3"/>
        <v>46296</v>
      </c>
      <c r="U59" s="6">
        <f t="shared" ca="1" si="8"/>
        <v>-639</v>
      </c>
      <c r="V59" s="6" t="str">
        <f t="shared" ca="1" si="5"/>
        <v>Pre contrato</v>
      </c>
      <c r="W59" s="34">
        <f t="shared" si="6"/>
        <v>114000</v>
      </c>
      <c r="X59" s="34">
        <f t="shared" si="7"/>
        <v>247000</v>
      </c>
    </row>
    <row r="60" spans="1:24">
      <c r="A60" s="6" t="s">
        <v>80</v>
      </c>
      <c r="B60" t="s">
        <v>313</v>
      </c>
      <c r="C60" s="6" t="s">
        <v>313</v>
      </c>
      <c r="D60" s="6" t="s">
        <v>320</v>
      </c>
      <c r="E60">
        <f t="shared" ca="1" si="0"/>
        <v>34</v>
      </c>
      <c r="F60" s="11">
        <v>33781</v>
      </c>
      <c r="G60" s="9">
        <v>45490</v>
      </c>
      <c r="H60" s="9">
        <v>46203</v>
      </c>
      <c r="I60" s="12">
        <v>150000</v>
      </c>
      <c r="J60" s="6" t="s">
        <v>384</v>
      </c>
      <c r="K60" s="6" t="s">
        <v>500</v>
      </c>
      <c r="L60" s="6">
        <v>1</v>
      </c>
      <c r="M60" s="6">
        <v>12</v>
      </c>
      <c r="N60" s="12">
        <v>300000</v>
      </c>
      <c r="O60" s="24">
        <f t="shared" si="1"/>
        <v>1050000</v>
      </c>
      <c r="P60" s="6" t="s">
        <v>497</v>
      </c>
      <c r="Q60">
        <f t="shared" ca="1" si="2"/>
        <v>100000</v>
      </c>
      <c r="R60" s="6" t="s">
        <v>503</v>
      </c>
      <c r="S60" s="6">
        <v>1.78</v>
      </c>
      <c r="T60" s="9">
        <f t="shared" ca="1" si="3"/>
        <v>46296</v>
      </c>
      <c r="U60" s="6">
        <f t="shared" ca="1" si="8"/>
        <v>-93</v>
      </c>
      <c r="V60" s="6" t="str">
        <f t="shared" ca="1" si="5"/>
        <v>Pre contrato</v>
      </c>
      <c r="W60" s="34">
        <f t="shared" si="6"/>
        <v>900000</v>
      </c>
      <c r="X60" s="34">
        <f t="shared" si="7"/>
        <v>1950000</v>
      </c>
    </row>
    <row r="61" spans="1:24">
      <c r="A61" s="6" t="s">
        <v>81</v>
      </c>
      <c r="B61" t="s">
        <v>313</v>
      </c>
      <c r="C61" s="6" t="s">
        <v>313</v>
      </c>
      <c r="D61" s="6" t="s">
        <v>319</v>
      </c>
      <c r="E61">
        <f t="shared" ca="1" si="0"/>
        <v>23</v>
      </c>
      <c r="F61" s="11">
        <v>37818</v>
      </c>
      <c r="G61" s="9">
        <v>45322</v>
      </c>
      <c r="H61" s="9">
        <v>45657</v>
      </c>
      <c r="I61" s="12">
        <v>32000</v>
      </c>
      <c r="J61" s="15" t="s">
        <v>379</v>
      </c>
      <c r="K61" s="6" t="s">
        <v>500</v>
      </c>
      <c r="L61" s="6">
        <v>0</v>
      </c>
      <c r="M61" s="6">
        <v>0</v>
      </c>
      <c r="N61" s="12">
        <v>120000</v>
      </c>
      <c r="O61" s="24">
        <f t="shared" si="1"/>
        <v>420000</v>
      </c>
      <c r="P61" s="6" t="s">
        <v>497</v>
      </c>
      <c r="Q61">
        <f t="shared" ca="1" si="2"/>
        <v>160000</v>
      </c>
      <c r="R61" s="6" t="s">
        <v>503</v>
      </c>
      <c r="S61" s="6">
        <v>1.8</v>
      </c>
      <c r="T61" s="9">
        <f t="shared" ca="1" si="3"/>
        <v>46296</v>
      </c>
      <c r="U61" s="6">
        <f t="shared" ca="1" si="8"/>
        <v>-639</v>
      </c>
      <c r="V61" s="6" t="str">
        <f t="shared" ca="1" si="5"/>
        <v>Pre contrato</v>
      </c>
      <c r="W61" s="34">
        <f t="shared" si="6"/>
        <v>192000</v>
      </c>
      <c r="X61" s="34">
        <f t="shared" si="7"/>
        <v>416000</v>
      </c>
    </row>
    <row r="62" spans="1:24">
      <c r="A62" s="6" t="s">
        <v>82</v>
      </c>
      <c r="B62" t="s">
        <v>313</v>
      </c>
      <c r="C62" s="6" t="s">
        <v>313</v>
      </c>
      <c r="D62" s="6" t="s">
        <v>305</v>
      </c>
      <c r="E62">
        <f t="shared" ca="1" si="0"/>
        <v>28</v>
      </c>
      <c r="F62" s="11">
        <v>35766</v>
      </c>
      <c r="G62" s="9">
        <v>45386</v>
      </c>
      <c r="H62" s="9">
        <v>46752</v>
      </c>
      <c r="I62" s="12">
        <v>28100</v>
      </c>
      <c r="J62" s="6" t="s">
        <v>373</v>
      </c>
      <c r="K62" s="6" t="s">
        <v>500</v>
      </c>
      <c r="L62" s="6">
        <v>0</v>
      </c>
      <c r="M62" s="6">
        <v>0</v>
      </c>
      <c r="N62" s="12">
        <v>121000</v>
      </c>
      <c r="O62" s="24">
        <f t="shared" si="1"/>
        <v>423500</v>
      </c>
      <c r="P62" s="6" t="s">
        <v>497</v>
      </c>
      <c r="Q62">
        <f t="shared" ca="1" si="2"/>
        <v>120000</v>
      </c>
      <c r="R62" s="6" t="s">
        <v>503</v>
      </c>
      <c r="S62" s="6">
        <v>1.85</v>
      </c>
      <c r="T62" s="9">
        <f t="shared" ca="1" si="3"/>
        <v>46296</v>
      </c>
      <c r="U62" s="6">
        <f t="shared" ca="1" si="8"/>
        <v>456</v>
      </c>
      <c r="V62" s="6" t="str">
        <f t="shared" ca="1" si="5"/>
        <v>Com Contrato em vigor</v>
      </c>
      <c r="W62" s="34">
        <f t="shared" si="6"/>
        <v>168600</v>
      </c>
      <c r="X62" s="34">
        <f t="shared" si="7"/>
        <v>365300</v>
      </c>
    </row>
    <row r="63" spans="1:24">
      <c r="A63" s="6" t="s">
        <v>83</v>
      </c>
      <c r="B63" t="s">
        <v>313</v>
      </c>
      <c r="C63" s="6" t="s">
        <v>313</v>
      </c>
      <c r="D63" s="6" t="s">
        <v>307</v>
      </c>
      <c r="E63">
        <f t="shared" ca="1" si="0"/>
        <v>26</v>
      </c>
      <c r="F63" s="11">
        <v>36590</v>
      </c>
      <c r="G63" s="9">
        <v>45483</v>
      </c>
      <c r="H63" s="9">
        <v>45838</v>
      </c>
      <c r="I63" s="12">
        <v>32000</v>
      </c>
      <c r="J63" s="6" t="s">
        <v>385</v>
      </c>
      <c r="K63" s="6" t="s">
        <v>500</v>
      </c>
      <c r="L63" s="6">
        <v>0</v>
      </c>
      <c r="M63" s="6">
        <v>0</v>
      </c>
      <c r="N63" s="12">
        <v>50000</v>
      </c>
      <c r="O63" s="24">
        <f t="shared" si="1"/>
        <v>175000</v>
      </c>
      <c r="P63" s="6" t="s">
        <v>493</v>
      </c>
      <c r="Q63">
        <f t="shared" ca="1" si="2"/>
        <v>120000</v>
      </c>
      <c r="R63" s="6" t="s">
        <v>506</v>
      </c>
      <c r="S63" s="6">
        <v>1.8</v>
      </c>
      <c r="T63" s="9">
        <f t="shared" ca="1" si="3"/>
        <v>46296</v>
      </c>
      <c r="U63" s="6">
        <f t="shared" ca="1" si="8"/>
        <v>-458</v>
      </c>
      <c r="V63" s="6" t="str">
        <f t="shared" ca="1" si="5"/>
        <v>Pre contrato</v>
      </c>
      <c r="W63" s="34">
        <f t="shared" si="6"/>
        <v>192000</v>
      </c>
      <c r="X63" s="34">
        <f t="shared" si="7"/>
        <v>416000</v>
      </c>
    </row>
    <row r="64" spans="1:24">
      <c r="A64" s="6" t="s">
        <v>84</v>
      </c>
      <c r="B64" t="s">
        <v>321</v>
      </c>
      <c r="C64" s="6" t="s">
        <v>321</v>
      </c>
      <c r="D64" s="6" t="s">
        <v>305</v>
      </c>
      <c r="E64">
        <f t="shared" ca="1" si="0"/>
        <v>36</v>
      </c>
      <c r="F64" s="11">
        <v>33076</v>
      </c>
      <c r="G64" s="9">
        <v>44085</v>
      </c>
      <c r="H64" s="9">
        <v>46022</v>
      </c>
      <c r="I64" s="12">
        <v>242000</v>
      </c>
      <c r="J64" s="6" t="s">
        <v>386</v>
      </c>
      <c r="K64" s="6" t="s">
        <v>495</v>
      </c>
      <c r="L64" s="6">
        <v>0</v>
      </c>
      <c r="M64" s="6">
        <v>0</v>
      </c>
      <c r="N64" s="12">
        <v>3000000</v>
      </c>
      <c r="O64" s="24">
        <f t="shared" si="1"/>
        <v>10500000</v>
      </c>
      <c r="P64" s="6" t="s">
        <v>493</v>
      </c>
      <c r="Q64">
        <f t="shared" ca="1" si="2"/>
        <v>100000</v>
      </c>
      <c r="R64" s="6" t="s">
        <v>505</v>
      </c>
      <c r="S64" s="6">
        <v>1.92</v>
      </c>
      <c r="T64" s="9">
        <f t="shared" ca="1" si="3"/>
        <v>46296</v>
      </c>
      <c r="U64" s="6">
        <f t="shared" ca="1" si="8"/>
        <v>-274</v>
      </c>
      <c r="V64" s="6" t="str">
        <f t="shared" ca="1" si="5"/>
        <v>Pre contrato</v>
      </c>
      <c r="W64" s="34">
        <f t="shared" si="6"/>
        <v>1452000</v>
      </c>
      <c r="X64" s="34">
        <f t="shared" si="7"/>
        <v>3146000</v>
      </c>
    </row>
    <row r="65" spans="1:24">
      <c r="A65" s="6" t="s">
        <v>85</v>
      </c>
      <c r="B65" t="s">
        <v>321</v>
      </c>
      <c r="C65" s="6" t="s">
        <v>321</v>
      </c>
      <c r="D65" s="6" t="s">
        <v>305</v>
      </c>
      <c r="E65">
        <f t="shared" ca="1" si="0"/>
        <v>27</v>
      </c>
      <c r="F65" s="11">
        <v>36229</v>
      </c>
      <c r="G65" s="9">
        <v>45135</v>
      </c>
      <c r="H65" s="9">
        <v>46387</v>
      </c>
      <c r="I65" s="12">
        <v>83000</v>
      </c>
      <c r="J65" s="6" t="s">
        <v>387</v>
      </c>
      <c r="K65" s="6" t="s">
        <v>495</v>
      </c>
      <c r="L65" s="6">
        <v>0</v>
      </c>
      <c r="M65" s="6">
        <v>0</v>
      </c>
      <c r="N65" s="12">
        <v>150000</v>
      </c>
      <c r="O65" s="24">
        <f t="shared" si="1"/>
        <v>525000</v>
      </c>
      <c r="P65" s="6" t="s">
        <v>493</v>
      </c>
      <c r="Q65">
        <f t="shared" ca="1" si="2"/>
        <v>120000</v>
      </c>
      <c r="R65" s="6" t="s">
        <v>503</v>
      </c>
      <c r="S65" s="6">
        <v>1.93</v>
      </c>
      <c r="T65" s="9">
        <f t="shared" ca="1" si="3"/>
        <v>46296</v>
      </c>
      <c r="U65" s="6">
        <f t="shared" ca="1" si="8"/>
        <v>91</v>
      </c>
      <c r="V65" s="6" t="str">
        <f t="shared" ca="1" si="5"/>
        <v>Pre contrato</v>
      </c>
      <c r="W65" s="34">
        <f t="shared" si="6"/>
        <v>498000</v>
      </c>
      <c r="X65" s="34">
        <f t="shared" si="7"/>
        <v>1079000</v>
      </c>
    </row>
    <row r="66" spans="1:24">
      <c r="A66" s="6" t="s">
        <v>86</v>
      </c>
      <c r="B66" t="s">
        <v>321</v>
      </c>
      <c r="C66" s="6" t="s">
        <v>321</v>
      </c>
      <c r="D66" s="6" t="s">
        <v>305</v>
      </c>
      <c r="E66">
        <f t="shared" ref="E66:E129" ca="1" si="9">DATEDIF(F66,TODAY(),"Y")</f>
        <v>24</v>
      </c>
      <c r="F66" s="11">
        <v>37447</v>
      </c>
      <c r="G66" s="9">
        <v>44927</v>
      </c>
      <c r="H66" s="9">
        <v>46387</v>
      </c>
      <c r="I66" s="12">
        <v>71000</v>
      </c>
      <c r="J66" s="6" t="s">
        <v>348</v>
      </c>
      <c r="K66" s="6" t="s">
        <v>495</v>
      </c>
      <c r="L66" s="6">
        <v>0</v>
      </c>
      <c r="M66" s="6">
        <v>0</v>
      </c>
      <c r="N66" s="12">
        <v>200000</v>
      </c>
      <c r="O66" s="24">
        <f t="shared" ref="O66:O129" si="10">N66*3.5</f>
        <v>700000</v>
      </c>
      <c r="P66" s="6" t="s">
        <v>497</v>
      </c>
      <c r="Q66">
        <f t="shared" ref="Q66:Q129" ca="1" si="11">IF(E66&gt;30,100000,IF(E66&gt;24,120000,IF(E66&gt;16,160000)))</f>
        <v>160000</v>
      </c>
      <c r="R66" s="6" t="s">
        <v>503</v>
      </c>
      <c r="S66" s="6">
        <v>1.89</v>
      </c>
      <c r="T66" s="9">
        <f t="shared" ref="T66:T129" ca="1" si="12">TODAY()</f>
        <v>46296</v>
      </c>
      <c r="U66" s="6">
        <f t="shared" ref="U66:U97" ca="1" si="13">_xlfn.DAYS(H66,T66)</f>
        <v>91</v>
      </c>
      <c r="V66" s="6" t="str">
        <f t="shared" ref="V66:V129" ca="1" si="14">IF(U66&lt;180, "Pre contrato","Com Contrato em vigor")</f>
        <v>Pre contrato</v>
      </c>
      <c r="W66" s="34">
        <f t="shared" si="6"/>
        <v>426000</v>
      </c>
      <c r="X66" s="34">
        <f t="shared" si="7"/>
        <v>923000</v>
      </c>
    </row>
    <row r="67" spans="1:24">
      <c r="A67" s="6" t="s">
        <v>87</v>
      </c>
      <c r="B67" t="s">
        <v>321</v>
      </c>
      <c r="C67" s="6" t="s">
        <v>321</v>
      </c>
      <c r="D67" s="6" t="s">
        <v>305</v>
      </c>
      <c r="E67">
        <f t="shared" ca="1" si="9"/>
        <v>23</v>
      </c>
      <c r="F67" s="13">
        <v>37643</v>
      </c>
      <c r="G67" s="9">
        <v>45292</v>
      </c>
      <c r="H67" s="9">
        <v>45657</v>
      </c>
      <c r="I67" s="12">
        <v>23000</v>
      </c>
      <c r="J67" s="6" t="s">
        <v>348</v>
      </c>
      <c r="K67" s="6" t="s">
        <v>495</v>
      </c>
      <c r="L67" s="6">
        <v>0</v>
      </c>
      <c r="M67" s="6">
        <v>0</v>
      </c>
      <c r="N67" s="12">
        <v>75000</v>
      </c>
      <c r="O67" s="24">
        <f t="shared" si="10"/>
        <v>262500</v>
      </c>
      <c r="P67" s="6" t="s">
        <v>493</v>
      </c>
      <c r="Q67">
        <f t="shared" ca="1" si="11"/>
        <v>160000</v>
      </c>
      <c r="R67" s="6" t="s">
        <v>503</v>
      </c>
      <c r="S67" s="6">
        <v>1.93</v>
      </c>
      <c r="T67" s="9">
        <f t="shared" ca="1" si="12"/>
        <v>46296</v>
      </c>
      <c r="U67" s="6">
        <f t="shared" ca="1" si="13"/>
        <v>-639</v>
      </c>
      <c r="V67" s="6" t="str">
        <f t="shared" ca="1" si="14"/>
        <v>Pre contrato</v>
      </c>
      <c r="W67" s="34">
        <f t="shared" ref="W67:W130" si="15">I67*6</f>
        <v>138000</v>
      </c>
      <c r="X67" s="34">
        <f t="shared" ref="X67:X130" si="16">I67*13</f>
        <v>299000</v>
      </c>
    </row>
    <row r="68" spans="1:24">
      <c r="A68" s="6" t="s">
        <v>88</v>
      </c>
      <c r="B68" t="s">
        <v>321</v>
      </c>
      <c r="C68" s="6" t="s">
        <v>321</v>
      </c>
      <c r="D68" s="6" t="s">
        <v>305</v>
      </c>
      <c r="E68">
        <f t="shared" ca="1" si="9"/>
        <v>29</v>
      </c>
      <c r="F68" s="11">
        <v>35462</v>
      </c>
      <c r="G68" s="9">
        <v>45483</v>
      </c>
      <c r="H68" s="9">
        <v>47118</v>
      </c>
      <c r="I68" s="12">
        <v>200000</v>
      </c>
      <c r="J68" s="6" t="s">
        <v>388</v>
      </c>
      <c r="K68" s="6" t="s">
        <v>492</v>
      </c>
      <c r="L68" s="6">
        <v>1</v>
      </c>
      <c r="M68" s="6">
        <v>23</v>
      </c>
      <c r="N68" s="12">
        <v>3500000</v>
      </c>
      <c r="O68" s="24">
        <f t="shared" si="10"/>
        <v>12250000</v>
      </c>
      <c r="P68" s="6" t="s">
        <v>493</v>
      </c>
      <c r="Q68">
        <f t="shared" ca="1" si="11"/>
        <v>120000</v>
      </c>
      <c r="R68" s="6" t="s">
        <v>506</v>
      </c>
      <c r="S68" s="6">
        <v>1.87</v>
      </c>
      <c r="T68" s="9">
        <f t="shared" ca="1" si="12"/>
        <v>46296</v>
      </c>
      <c r="U68" s="6">
        <f t="shared" ca="1" si="13"/>
        <v>822</v>
      </c>
      <c r="V68" s="6" t="str">
        <f t="shared" ca="1" si="14"/>
        <v>Com Contrato em vigor</v>
      </c>
      <c r="W68" s="34">
        <f t="shared" si="15"/>
        <v>1200000</v>
      </c>
      <c r="X68" s="34">
        <f t="shared" si="16"/>
        <v>2600000</v>
      </c>
    </row>
    <row r="69" spans="1:24">
      <c r="A69" s="6" t="s">
        <v>89</v>
      </c>
      <c r="B69" t="s">
        <v>321</v>
      </c>
      <c r="C69" s="6" t="s">
        <v>321</v>
      </c>
      <c r="D69" s="6" t="s">
        <v>312</v>
      </c>
      <c r="E69">
        <f t="shared" ca="1" si="9"/>
        <v>33</v>
      </c>
      <c r="F69" s="11">
        <v>34009</v>
      </c>
      <c r="G69" s="9">
        <v>45483</v>
      </c>
      <c r="H69" s="9">
        <v>46022</v>
      </c>
      <c r="I69" s="12">
        <v>230000</v>
      </c>
      <c r="J69" s="6" t="s">
        <v>389</v>
      </c>
      <c r="K69" s="6" t="s">
        <v>492</v>
      </c>
      <c r="L69" s="6">
        <v>0</v>
      </c>
      <c r="M69" s="6">
        <v>0</v>
      </c>
      <c r="N69" s="12">
        <v>4000000</v>
      </c>
      <c r="O69" s="24">
        <f t="shared" si="10"/>
        <v>14000000</v>
      </c>
      <c r="P69" s="6" t="s">
        <v>497</v>
      </c>
      <c r="Q69">
        <f t="shared" ca="1" si="11"/>
        <v>100000</v>
      </c>
      <c r="R69" s="6" t="s">
        <v>503</v>
      </c>
      <c r="S69" s="6">
        <v>1.85</v>
      </c>
      <c r="T69" s="9">
        <f t="shared" ca="1" si="12"/>
        <v>46296</v>
      </c>
      <c r="U69" s="6">
        <f t="shared" ca="1" si="13"/>
        <v>-274</v>
      </c>
      <c r="V69" s="6" t="str">
        <f t="shared" ca="1" si="14"/>
        <v>Pre contrato</v>
      </c>
      <c r="W69" s="34">
        <f t="shared" si="15"/>
        <v>1380000</v>
      </c>
      <c r="X69" s="34">
        <f t="shared" si="16"/>
        <v>2990000</v>
      </c>
    </row>
    <row r="70" spans="1:24">
      <c r="A70" s="6" t="s">
        <v>90</v>
      </c>
      <c r="B70" t="s">
        <v>321</v>
      </c>
      <c r="C70" s="6" t="s">
        <v>321</v>
      </c>
      <c r="D70" s="6" t="s">
        <v>319</v>
      </c>
      <c r="E70">
        <f t="shared" ca="1" si="9"/>
        <v>30</v>
      </c>
      <c r="F70" s="11">
        <v>35061</v>
      </c>
      <c r="G70" s="9">
        <v>44973</v>
      </c>
      <c r="H70" s="9">
        <v>46022</v>
      </c>
      <c r="I70" s="12">
        <v>187000</v>
      </c>
      <c r="J70" s="6" t="s">
        <v>390</v>
      </c>
      <c r="K70" s="6" t="s">
        <v>492</v>
      </c>
      <c r="L70" s="6">
        <v>0</v>
      </c>
      <c r="M70" s="6">
        <v>0</v>
      </c>
      <c r="N70" s="12">
        <v>1407000</v>
      </c>
      <c r="O70" s="24">
        <f t="shared" si="10"/>
        <v>4924500</v>
      </c>
      <c r="P70" s="6" t="s">
        <v>493</v>
      </c>
      <c r="Q70">
        <f t="shared" ca="1" si="11"/>
        <v>120000</v>
      </c>
      <c r="R70" s="6" t="s">
        <v>506</v>
      </c>
      <c r="S70" s="6">
        <v>1.87</v>
      </c>
      <c r="T70" s="9">
        <f t="shared" ca="1" si="12"/>
        <v>46296</v>
      </c>
      <c r="U70" s="6">
        <f t="shared" ca="1" si="13"/>
        <v>-274</v>
      </c>
      <c r="V70" s="6" t="str">
        <f t="shared" ca="1" si="14"/>
        <v>Pre contrato</v>
      </c>
      <c r="W70" s="34">
        <f t="shared" si="15"/>
        <v>1122000</v>
      </c>
      <c r="X70" s="34">
        <f t="shared" si="16"/>
        <v>2431000</v>
      </c>
    </row>
    <row r="71" spans="1:24">
      <c r="A71" s="6" t="s">
        <v>91</v>
      </c>
      <c r="B71" t="s">
        <v>321</v>
      </c>
      <c r="C71" s="6" t="s">
        <v>321</v>
      </c>
      <c r="D71" s="6" t="s">
        <v>305</v>
      </c>
      <c r="E71">
        <f t="shared" ca="1" si="9"/>
        <v>27</v>
      </c>
      <c r="F71" s="11">
        <v>36251</v>
      </c>
      <c r="G71" s="9">
        <v>44927</v>
      </c>
      <c r="H71" s="9">
        <v>45657</v>
      </c>
      <c r="I71" s="12">
        <v>115000</v>
      </c>
      <c r="J71" s="6" t="s">
        <v>377</v>
      </c>
      <c r="K71" s="6" t="s">
        <v>492</v>
      </c>
      <c r="L71" s="6">
        <v>0</v>
      </c>
      <c r="M71" s="6">
        <v>0</v>
      </c>
      <c r="N71" s="12">
        <v>2000000</v>
      </c>
      <c r="O71" s="24">
        <f t="shared" si="10"/>
        <v>7000000</v>
      </c>
      <c r="P71" s="6" t="s">
        <v>493</v>
      </c>
      <c r="Q71">
        <f t="shared" ca="1" si="11"/>
        <v>120000</v>
      </c>
      <c r="R71" s="6" t="s">
        <v>506</v>
      </c>
      <c r="S71" s="6">
        <v>1.9</v>
      </c>
      <c r="T71" s="9">
        <f t="shared" ca="1" si="12"/>
        <v>46296</v>
      </c>
      <c r="U71" s="6">
        <f t="shared" ca="1" si="13"/>
        <v>-639</v>
      </c>
      <c r="V71" s="6" t="str">
        <f t="shared" ca="1" si="14"/>
        <v>Pre contrato</v>
      </c>
      <c r="W71" s="34">
        <f t="shared" si="15"/>
        <v>690000</v>
      </c>
      <c r="X71" s="34">
        <f t="shared" si="16"/>
        <v>1495000</v>
      </c>
    </row>
    <row r="72" spans="1:24">
      <c r="A72" s="6" t="s">
        <v>92</v>
      </c>
      <c r="B72" t="s">
        <v>321</v>
      </c>
      <c r="C72" s="6" t="s">
        <v>321</v>
      </c>
      <c r="D72" s="6" t="s">
        <v>305</v>
      </c>
      <c r="E72">
        <f t="shared" ca="1" si="9"/>
        <v>31</v>
      </c>
      <c r="F72" s="11">
        <v>34817</v>
      </c>
      <c r="G72" s="9">
        <v>44718</v>
      </c>
      <c r="H72" s="9">
        <v>46022</v>
      </c>
      <c r="I72" s="12">
        <v>170000</v>
      </c>
      <c r="J72" s="6" t="s">
        <v>348</v>
      </c>
      <c r="K72" s="6" t="s">
        <v>492</v>
      </c>
      <c r="L72" s="6">
        <v>0</v>
      </c>
      <c r="M72" s="6">
        <v>0</v>
      </c>
      <c r="N72" s="12">
        <v>750000</v>
      </c>
      <c r="O72" s="24">
        <f t="shared" si="10"/>
        <v>2625000</v>
      </c>
      <c r="P72" s="6" t="s">
        <v>493</v>
      </c>
      <c r="Q72">
        <f t="shared" ca="1" si="11"/>
        <v>100000</v>
      </c>
      <c r="R72" s="6" t="s">
        <v>505</v>
      </c>
      <c r="S72" s="6">
        <v>1.9</v>
      </c>
      <c r="T72" s="9">
        <f t="shared" ca="1" si="12"/>
        <v>46296</v>
      </c>
      <c r="U72" s="6">
        <f t="shared" ca="1" si="13"/>
        <v>-274</v>
      </c>
      <c r="V72" s="6" t="str">
        <f t="shared" ca="1" si="14"/>
        <v>Pre contrato</v>
      </c>
      <c r="W72" s="34">
        <f t="shared" si="15"/>
        <v>1020000</v>
      </c>
      <c r="X72" s="34">
        <f t="shared" si="16"/>
        <v>2210000</v>
      </c>
    </row>
    <row r="73" spans="1:24">
      <c r="A73" s="6" t="s">
        <v>93</v>
      </c>
      <c r="B73" t="s">
        <v>321</v>
      </c>
      <c r="C73" s="6" t="s">
        <v>321</v>
      </c>
      <c r="D73" s="6" t="s">
        <v>305</v>
      </c>
      <c r="E73">
        <f t="shared" ca="1" si="9"/>
        <v>22</v>
      </c>
      <c r="F73" s="11">
        <v>38017</v>
      </c>
      <c r="G73" s="9">
        <v>45335</v>
      </c>
      <c r="H73" s="9">
        <v>46752</v>
      </c>
      <c r="I73" s="12">
        <v>20000</v>
      </c>
      <c r="J73" s="6" t="s">
        <v>348</v>
      </c>
      <c r="K73" s="6" t="s">
        <v>492</v>
      </c>
      <c r="L73" s="6">
        <v>0</v>
      </c>
      <c r="M73" s="6">
        <v>0</v>
      </c>
      <c r="N73" s="12">
        <v>300000</v>
      </c>
      <c r="O73" s="24">
        <f t="shared" si="10"/>
        <v>1050000</v>
      </c>
      <c r="P73" s="6" t="s">
        <v>493</v>
      </c>
      <c r="Q73">
        <f t="shared" ca="1" si="11"/>
        <v>160000</v>
      </c>
      <c r="R73" s="6" t="s">
        <v>505</v>
      </c>
      <c r="S73" s="6">
        <v>1.83</v>
      </c>
      <c r="T73" s="9">
        <f t="shared" ca="1" si="12"/>
        <v>46296</v>
      </c>
      <c r="U73" s="6">
        <f t="shared" ca="1" si="13"/>
        <v>456</v>
      </c>
      <c r="V73" s="6" t="str">
        <f t="shared" ca="1" si="14"/>
        <v>Com Contrato em vigor</v>
      </c>
      <c r="W73" s="34">
        <f t="shared" si="15"/>
        <v>120000</v>
      </c>
      <c r="X73" s="34">
        <f t="shared" si="16"/>
        <v>260000</v>
      </c>
    </row>
    <row r="74" spans="1:24">
      <c r="A74" s="6" t="s">
        <v>94</v>
      </c>
      <c r="B74" t="s">
        <v>321</v>
      </c>
      <c r="C74" s="6" t="s">
        <v>321</v>
      </c>
      <c r="D74" s="6" t="s">
        <v>305</v>
      </c>
      <c r="E74">
        <f t="shared" ca="1" si="9"/>
        <v>29</v>
      </c>
      <c r="F74" s="11">
        <v>35534</v>
      </c>
      <c r="G74" s="9">
        <v>45232</v>
      </c>
      <c r="H74" s="9">
        <v>46752</v>
      </c>
      <c r="I74" s="12">
        <v>640000</v>
      </c>
      <c r="J74" s="6" t="s">
        <v>391</v>
      </c>
      <c r="K74" s="6" t="s">
        <v>496</v>
      </c>
      <c r="L74" s="6">
        <v>1</v>
      </c>
      <c r="M74" s="6">
        <v>58</v>
      </c>
      <c r="N74" s="12">
        <v>9000000</v>
      </c>
      <c r="O74" s="24">
        <f t="shared" si="10"/>
        <v>31500000</v>
      </c>
      <c r="P74" s="6" t="s">
        <v>497</v>
      </c>
      <c r="Q74">
        <f t="shared" ca="1" si="11"/>
        <v>120000</v>
      </c>
      <c r="R74" s="6" t="s">
        <v>506</v>
      </c>
      <c r="S74" s="6">
        <v>1.76</v>
      </c>
      <c r="T74" s="9">
        <f t="shared" ca="1" si="12"/>
        <v>46296</v>
      </c>
      <c r="U74" s="6">
        <f t="shared" ca="1" si="13"/>
        <v>456</v>
      </c>
      <c r="V74" s="6" t="str">
        <f t="shared" ca="1" si="14"/>
        <v>Com Contrato em vigor</v>
      </c>
      <c r="W74" s="34">
        <f t="shared" si="15"/>
        <v>3840000</v>
      </c>
      <c r="X74" s="34">
        <f t="shared" si="16"/>
        <v>8320000</v>
      </c>
    </row>
    <row r="75" spans="1:24">
      <c r="A75" s="6" t="s">
        <v>95</v>
      </c>
      <c r="B75" t="s">
        <v>321</v>
      </c>
      <c r="C75" s="6" t="s">
        <v>321</v>
      </c>
      <c r="D75" s="6" t="s">
        <v>305</v>
      </c>
      <c r="E75">
        <f t="shared" ca="1" si="9"/>
        <v>25</v>
      </c>
      <c r="F75" s="11">
        <v>37063</v>
      </c>
      <c r="G75" s="9">
        <v>44562</v>
      </c>
      <c r="H75" s="9">
        <v>46752</v>
      </c>
      <c r="I75" s="12">
        <v>206000</v>
      </c>
      <c r="J75" s="6" t="s">
        <v>392</v>
      </c>
      <c r="K75" s="6" t="s">
        <v>496</v>
      </c>
      <c r="L75" s="6">
        <v>0</v>
      </c>
      <c r="M75" s="6">
        <v>0</v>
      </c>
      <c r="N75" s="12">
        <v>750000</v>
      </c>
      <c r="O75" s="24">
        <f t="shared" si="10"/>
        <v>2625000</v>
      </c>
      <c r="P75" s="6" t="s">
        <v>497</v>
      </c>
      <c r="Q75">
        <f t="shared" ca="1" si="11"/>
        <v>120000</v>
      </c>
      <c r="R75" s="6" t="s">
        <v>503</v>
      </c>
      <c r="S75" s="6">
        <v>1.78</v>
      </c>
      <c r="T75" s="9">
        <f t="shared" ca="1" si="12"/>
        <v>46296</v>
      </c>
      <c r="U75" s="6">
        <f t="shared" ca="1" si="13"/>
        <v>456</v>
      </c>
      <c r="V75" s="6" t="str">
        <f t="shared" ca="1" si="14"/>
        <v>Com Contrato em vigor</v>
      </c>
      <c r="W75" s="34">
        <f t="shared" si="15"/>
        <v>1236000</v>
      </c>
      <c r="X75" s="34">
        <f t="shared" si="16"/>
        <v>2678000</v>
      </c>
    </row>
    <row r="76" spans="1:24">
      <c r="A76" s="6" t="s">
        <v>96</v>
      </c>
      <c r="B76" t="s">
        <v>321</v>
      </c>
      <c r="C76" s="6" t="s">
        <v>321</v>
      </c>
      <c r="D76" s="6" t="s">
        <v>342</v>
      </c>
      <c r="E76">
        <f t="shared" ca="1" si="9"/>
        <v>33</v>
      </c>
      <c r="F76" s="11">
        <v>34136</v>
      </c>
      <c r="G76" s="9">
        <v>44973</v>
      </c>
      <c r="H76" s="9">
        <v>46022</v>
      </c>
      <c r="I76" s="12">
        <v>270000</v>
      </c>
      <c r="J76" s="6" t="s">
        <v>393</v>
      </c>
      <c r="K76" s="6" t="s">
        <v>498</v>
      </c>
      <c r="L76" s="6">
        <v>0</v>
      </c>
      <c r="M76" s="6">
        <v>0</v>
      </c>
      <c r="N76" s="12">
        <v>2500000</v>
      </c>
      <c r="O76" s="24">
        <f t="shared" si="10"/>
        <v>8750000</v>
      </c>
      <c r="P76" s="6" t="s">
        <v>493</v>
      </c>
      <c r="Q76">
        <f t="shared" ca="1" si="11"/>
        <v>100000</v>
      </c>
      <c r="R76" s="6" t="s">
        <v>506</v>
      </c>
      <c r="S76" s="6">
        <v>1.78</v>
      </c>
      <c r="T76" s="9">
        <f t="shared" ca="1" si="12"/>
        <v>46296</v>
      </c>
      <c r="U76" s="6">
        <f t="shared" ca="1" si="13"/>
        <v>-274</v>
      </c>
      <c r="V76" s="6" t="str">
        <f t="shared" ca="1" si="14"/>
        <v>Pre contrato</v>
      </c>
      <c r="W76" s="34">
        <f t="shared" si="15"/>
        <v>1620000</v>
      </c>
      <c r="X76" s="34">
        <f t="shared" si="16"/>
        <v>3510000</v>
      </c>
    </row>
    <row r="77" spans="1:24">
      <c r="A77" s="6" t="s">
        <v>97</v>
      </c>
      <c r="B77" t="s">
        <v>321</v>
      </c>
      <c r="C77" s="6" t="s">
        <v>321</v>
      </c>
      <c r="D77" s="6" t="s">
        <v>305</v>
      </c>
      <c r="E77">
        <f t="shared" ca="1" si="9"/>
        <v>20</v>
      </c>
      <c r="F77" s="11">
        <v>38787</v>
      </c>
      <c r="G77" s="9">
        <v>45292</v>
      </c>
      <c r="H77" s="9">
        <v>46752</v>
      </c>
      <c r="I77" s="12">
        <v>134000</v>
      </c>
      <c r="J77" s="6" t="s">
        <v>357</v>
      </c>
      <c r="K77" s="6" t="s">
        <v>498</v>
      </c>
      <c r="L77" s="6">
        <v>1</v>
      </c>
      <c r="M77" s="6">
        <v>26</v>
      </c>
      <c r="N77" s="12">
        <v>1000000</v>
      </c>
      <c r="O77" s="24">
        <f t="shared" si="10"/>
        <v>3500000</v>
      </c>
      <c r="P77" s="6" t="s">
        <v>493</v>
      </c>
      <c r="Q77">
        <f t="shared" ca="1" si="11"/>
        <v>160000</v>
      </c>
      <c r="R77" s="6" t="s">
        <v>506</v>
      </c>
      <c r="S77" s="6">
        <v>1.76</v>
      </c>
      <c r="T77" s="9">
        <f t="shared" ca="1" si="12"/>
        <v>46296</v>
      </c>
      <c r="U77" s="6">
        <f t="shared" ca="1" si="13"/>
        <v>456</v>
      </c>
      <c r="V77" s="6" t="str">
        <f t="shared" ca="1" si="14"/>
        <v>Com Contrato em vigor</v>
      </c>
      <c r="W77" s="34">
        <f t="shared" si="15"/>
        <v>804000</v>
      </c>
      <c r="X77" s="34">
        <f t="shared" si="16"/>
        <v>1742000</v>
      </c>
    </row>
    <row r="78" spans="1:24">
      <c r="A78" s="6" t="s">
        <v>98</v>
      </c>
      <c r="B78" t="s">
        <v>321</v>
      </c>
      <c r="C78" s="6" t="s">
        <v>321</v>
      </c>
      <c r="D78" s="6" t="s">
        <v>305</v>
      </c>
      <c r="E78">
        <f t="shared" ca="1" si="9"/>
        <v>40</v>
      </c>
      <c r="F78" s="11">
        <v>31586</v>
      </c>
      <c r="G78" s="9">
        <v>44043</v>
      </c>
      <c r="H78" s="9">
        <v>45657</v>
      </c>
      <c r="I78" s="12">
        <v>247000</v>
      </c>
      <c r="J78" s="6" t="s">
        <v>394</v>
      </c>
      <c r="K78" s="6" t="s">
        <v>498</v>
      </c>
      <c r="L78" s="6">
        <v>1</v>
      </c>
      <c r="M78" s="6">
        <v>78</v>
      </c>
      <c r="N78" s="12">
        <v>970000</v>
      </c>
      <c r="O78" s="24">
        <f t="shared" si="10"/>
        <v>3395000</v>
      </c>
      <c r="P78" s="6" t="s">
        <v>493</v>
      </c>
      <c r="Q78">
        <f t="shared" ca="1" si="11"/>
        <v>100000</v>
      </c>
      <c r="R78" s="6" t="s">
        <v>506</v>
      </c>
      <c r="S78" s="6">
        <v>1.77</v>
      </c>
      <c r="T78" s="9">
        <f t="shared" ca="1" si="12"/>
        <v>46296</v>
      </c>
      <c r="U78" s="6">
        <f t="shared" ca="1" si="13"/>
        <v>-639</v>
      </c>
      <c r="V78" s="6" t="str">
        <f t="shared" ca="1" si="14"/>
        <v>Pre contrato</v>
      </c>
      <c r="W78" s="34">
        <f t="shared" si="15"/>
        <v>1482000</v>
      </c>
      <c r="X78" s="34">
        <f t="shared" si="16"/>
        <v>3211000</v>
      </c>
    </row>
    <row r="79" spans="1:24">
      <c r="A79" s="6" t="s">
        <v>99</v>
      </c>
      <c r="B79" t="s">
        <v>321</v>
      </c>
      <c r="C79" s="6" t="s">
        <v>321</v>
      </c>
      <c r="D79" s="6" t="s">
        <v>305</v>
      </c>
      <c r="E79">
        <f t="shared" ca="1" si="9"/>
        <v>32</v>
      </c>
      <c r="F79" s="11">
        <v>34458</v>
      </c>
      <c r="G79" s="9">
        <v>44743</v>
      </c>
      <c r="H79" s="9">
        <v>46203</v>
      </c>
      <c r="I79" s="12">
        <v>400000</v>
      </c>
      <c r="J79" s="6" t="s">
        <v>395</v>
      </c>
      <c r="K79" s="6" t="s">
        <v>494</v>
      </c>
      <c r="L79" s="6">
        <v>1</v>
      </c>
      <c r="M79" s="6">
        <v>6</v>
      </c>
      <c r="N79" s="12">
        <v>3000000</v>
      </c>
      <c r="O79" s="24">
        <f t="shared" si="10"/>
        <v>10500000</v>
      </c>
      <c r="P79" s="6" t="s">
        <v>493</v>
      </c>
      <c r="Q79">
        <f t="shared" ca="1" si="11"/>
        <v>100000</v>
      </c>
      <c r="R79" s="6" t="s">
        <v>506</v>
      </c>
      <c r="S79" s="6">
        <v>1.73</v>
      </c>
      <c r="T79" s="9">
        <f t="shared" ca="1" si="12"/>
        <v>46296</v>
      </c>
      <c r="U79" s="6">
        <f t="shared" ca="1" si="13"/>
        <v>-93</v>
      </c>
      <c r="V79" s="6" t="str">
        <f t="shared" ca="1" si="14"/>
        <v>Pre contrato</v>
      </c>
      <c r="W79" s="34">
        <f t="shared" si="15"/>
        <v>2400000</v>
      </c>
      <c r="X79" s="34">
        <f t="shared" si="16"/>
        <v>5200000</v>
      </c>
    </row>
    <row r="80" spans="1:24">
      <c r="A80" s="6" t="s">
        <v>100</v>
      </c>
      <c r="B80" t="s">
        <v>321</v>
      </c>
      <c r="C80" s="6" t="s">
        <v>321</v>
      </c>
      <c r="D80" s="6" t="s">
        <v>342</v>
      </c>
      <c r="E80">
        <f t="shared" ca="1" si="9"/>
        <v>26</v>
      </c>
      <c r="F80" s="11">
        <v>36611</v>
      </c>
      <c r="G80" s="9">
        <v>45489</v>
      </c>
      <c r="H80" s="9">
        <v>46752</v>
      </c>
      <c r="I80" s="12">
        <v>420000</v>
      </c>
      <c r="J80" s="6" t="s">
        <v>345</v>
      </c>
      <c r="K80" s="6" t="s">
        <v>494</v>
      </c>
      <c r="L80" s="6">
        <v>3</v>
      </c>
      <c r="M80" s="6">
        <v>130</v>
      </c>
      <c r="N80" s="12">
        <v>5000000</v>
      </c>
      <c r="O80" s="24">
        <f t="shared" si="10"/>
        <v>17500000</v>
      </c>
      <c r="P80" s="6" t="s">
        <v>493</v>
      </c>
      <c r="Q80">
        <f t="shared" ca="1" si="11"/>
        <v>120000</v>
      </c>
      <c r="R80" s="6" t="s">
        <v>506</v>
      </c>
      <c r="S80" s="6">
        <v>1.8</v>
      </c>
      <c r="T80" s="9">
        <f t="shared" ca="1" si="12"/>
        <v>46296</v>
      </c>
      <c r="U80" s="6">
        <f t="shared" ca="1" si="13"/>
        <v>456</v>
      </c>
      <c r="V80" s="6" t="str">
        <f t="shared" ca="1" si="14"/>
        <v>Com Contrato em vigor</v>
      </c>
      <c r="W80" s="34">
        <f t="shared" si="15"/>
        <v>2520000</v>
      </c>
      <c r="X80" s="34">
        <f t="shared" si="16"/>
        <v>5460000</v>
      </c>
    </row>
    <row r="81" spans="1:24">
      <c r="A81" s="6" t="s">
        <v>101</v>
      </c>
      <c r="B81" t="s">
        <v>321</v>
      </c>
      <c r="C81" s="6" t="s">
        <v>321</v>
      </c>
      <c r="D81" s="6" t="s">
        <v>342</v>
      </c>
      <c r="E81">
        <f t="shared" ca="1" si="9"/>
        <v>35</v>
      </c>
      <c r="F81" s="13">
        <v>33431</v>
      </c>
      <c r="G81" s="9">
        <v>45017</v>
      </c>
      <c r="H81" s="9">
        <v>46022</v>
      </c>
      <c r="I81" s="12">
        <v>450000</v>
      </c>
      <c r="J81" s="6" t="s">
        <v>396</v>
      </c>
      <c r="K81" s="6" t="s">
        <v>494</v>
      </c>
      <c r="L81" s="6">
        <v>0</v>
      </c>
      <c r="M81" s="6">
        <v>0</v>
      </c>
      <c r="N81" s="12">
        <v>560000</v>
      </c>
      <c r="O81" s="24">
        <f t="shared" si="10"/>
        <v>1960000</v>
      </c>
      <c r="P81" s="6" t="s">
        <v>493</v>
      </c>
      <c r="Q81">
        <f t="shared" ca="1" si="11"/>
        <v>100000</v>
      </c>
      <c r="R81" s="6" t="s">
        <v>506</v>
      </c>
      <c r="S81" s="6">
        <v>1.87</v>
      </c>
      <c r="T81" s="9">
        <f t="shared" ca="1" si="12"/>
        <v>46296</v>
      </c>
      <c r="U81" s="6">
        <f t="shared" ca="1" si="13"/>
        <v>-274</v>
      </c>
      <c r="V81" s="6" t="str">
        <f t="shared" ca="1" si="14"/>
        <v>Pre contrato</v>
      </c>
      <c r="W81" s="34">
        <f t="shared" si="15"/>
        <v>2700000</v>
      </c>
      <c r="X81" s="34">
        <f t="shared" si="16"/>
        <v>5850000</v>
      </c>
    </row>
    <row r="82" spans="1:24">
      <c r="A82" s="6" t="s">
        <v>102</v>
      </c>
      <c r="B82" t="s">
        <v>321</v>
      </c>
      <c r="C82" s="6" t="s">
        <v>321</v>
      </c>
      <c r="D82" s="6" t="s">
        <v>305</v>
      </c>
      <c r="E82">
        <f t="shared" ca="1" si="9"/>
        <v>22</v>
      </c>
      <c r="F82" s="11">
        <v>38225</v>
      </c>
      <c r="G82" s="9">
        <v>45323</v>
      </c>
      <c r="H82" s="9">
        <v>46752</v>
      </c>
      <c r="I82" s="12">
        <v>143000</v>
      </c>
      <c r="J82" s="6" t="s">
        <v>348</v>
      </c>
      <c r="K82" s="6" t="s">
        <v>494</v>
      </c>
      <c r="L82" s="6">
        <v>0</v>
      </c>
      <c r="M82" s="6">
        <v>0</v>
      </c>
      <c r="N82" s="12">
        <v>900000</v>
      </c>
      <c r="O82" s="24">
        <f t="shared" si="10"/>
        <v>3150000</v>
      </c>
      <c r="P82" s="6" t="s">
        <v>493</v>
      </c>
      <c r="Q82">
        <f t="shared" ca="1" si="11"/>
        <v>160000</v>
      </c>
      <c r="R82" s="6" t="s">
        <v>506</v>
      </c>
      <c r="S82" s="6">
        <v>1.84</v>
      </c>
      <c r="T82" s="9">
        <f t="shared" ca="1" si="12"/>
        <v>46296</v>
      </c>
      <c r="U82" s="6">
        <f t="shared" ca="1" si="13"/>
        <v>456</v>
      </c>
      <c r="V82" s="6" t="str">
        <f t="shared" ca="1" si="14"/>
        <v>Com Contrato em vigor</v>
      </c>
      <c r="W82" s="34">
        <f t="shared" si="15"/>
        <v>858000</v>
      </c>
      <c r="X82" s="34">
        <f t="shared" si="16"/>
        <v>1859000</v>
      </c>
    </row>
    <row r="83" spans="1:24">
      <c r="A83" s="6" t="s">
        <v>103</v>
      </c>
      <c r="B83" t="s">
        <v>321</v>
      </c>
      <c r="C83" s="6" t="s">
        <v>321</v>
      </c>
      <c r="D83" s="6" t="s">
        <v>309</v>
      </c>
      <c r="E83">
        <f t="shared" ca="1" si="9"/>
        <v>28</v>
      </c>
      <c r="F83" s="11">
        <v>36028</v>
      </c>
      <c r="G83" s="9">
        <v>45306</v>
      </c>
      <c r="H83" s="9">
        <v>46022</v>
      </c>
      <c r="I83" s="12">
        <v>111000</v>
      </c>
      <c r="J83" s="6" t="s">
        <v>397</v>
      </c>
      <c r="K83" s="6" t="s">
        <v>499</v>
      </c>
      <c r="L83" s="6">
        <v>0</v>
      </c>
      <c r="M83" s="6">
        <v>0</v>
      </c>
      <c r="N83" s="12">
        <v>576000</v>
      </c>
      <c r="O83" s="24">
        <f t="shared" si="10"/>
        <v>2016000</v>
      </c>
      <c r="P83" s="6" t="s">
        <v>493</v>
      </c>
      <c r="Q83">
        <f t="shared" ca="1" si="11"/>
        <v>120000</v>
      </c>
      <c r="R83" s="6" t="s">
        <v>503</v>
      </c>
      <c r="S83" s="6">
        <v>1.74</v>
      </c>
      <c r="T83" s="9">
        <f t="shared" ca="1" si="12"/>
        <v>46296</v>
      </c>
      <c r="U83" s="6">
        <f t="shared" ca="1" si="13"/>
        <v>-274</v>
      </c>
      <c r="V83" s="6" t="str">
        <f t="shared" ca="1" si="14"/>
        <v>Pre contrato</v>
      </c>
      <c r="W83" s="34">
        <f t="shared" si="15"/>
        <v>666000</v>
      </c>
      <c r="X83" s="34">
        <f t="shared" si="16"/>
        <v>1443000</v>
      </c>
    </row>
    <row r="84" spans="1:24">
      <c r="A84" s="6" t="s">
        <v>104</v>
      </c>
      <c r="B84" t="s">
        <v>321</v>
      </c>
      <c r="C84" s="6" t="s">
        <v>321</v>
      </c>
      <c r="D84" s="6" t="s">
        <v>342</v>
      </c>
      <c r="E84">
        <f t="shared" ca="1" si="9"/>
        <v>28</v>
      </c>
      <c r="F84" s="11">
        <v>35864</v>
      </c>
      <c r="G84" s="9">
        <v>44125</v>
      </c>
      <c r="H84" s="9">
        <v>46022</v>
      </c>
      <c r="I84" s="12">
        <v>676000</v>
      </c>
      <c r="J84" s="6" t="s">
        <v>398</v>
      </c>
      <c r="K84" s="6" t="s">
        <v>499</v>
      </c>
      <c r="L84" s="6">
        <v>0</v>
      </c>
      <c r="M84" s="6">
        <v>0</v>
      </c>
      <c r="N84" s="12">
        <v>9410000</v>
      </c>
      <c r="O84" s="24">
        <f t="shared" si="10"/>
        <v>32935000</v>
      </c>
      <c r="P84" s="6" t="s">
        <v>493</v>
      </c>
      <c r="Q84">
        <f t="shared" ca="1" si="11"/>
        <v>120000</v>
      </c>
      <c r="R84" s="6" t="s">
        <v>506</v>
      </c>
      <c r="S84" s="6">
        <v>1.71</v>
      </c>
      <c r="T84" s="9">
        <f t="shared" ca="1" si="12"/>
        <v>46296</v>
      </c>
      <c r="U84" s="6">
        <f t="shared" ca="1" si="13"/>
        <v>-274</v>
      </c>
      <c r="V84" s="6" t="str">
        <f t="shared" ca="1" si="14"/>
        <v>Pre contrato</v>
      </c>
      <c r="W84" s="34">
        <f t="shared" si="15"/>
        <v>4056000</v>
      </c>
      <c r="X84" s="34">
        <f t="shared" si="16"/>
        <v>8788000</v>
      </c>
    </row>
    <row r="85" spans="1:24">
      <c r="A85" s="6" t="s">
        <v>105</v>
      </c>
      <c r="B85" t="s">
        <v>321</v>
      </c>
      <c r="C85" s="6" t="s">
        <v>321</v>
      </c>
      <c r="D85" s="6" t="s">
        <v>305</v>
      </c>
      <c r="E85">
        <f t="shared" ca="1" si="9"/>
        <v>32</v>
      </c>
      <c r="F85" s="13">
        <v>34339</v>
      </c>
      <c r="G85" s="9">
        <v>45302</v>
      </c>
      <c r="H85" s="9">
        <v>46752</v>
      </c>
      <c r="I85" s="12">
        <v>860000</v>
      </c>
      <c r="J85" s="6" t="s">
        <v>399</v>
      </c>
      <c r="K85" s="6" t="s">
        <v>499</v>
      </c>
      <c r="L85" s="6">
        <v>1</v>
      </c>
      <c r="M85" s="6">
        <v>9</v>
      </c>
      <c r="N85" s="12">
        <v>5142400</v>
      </c>
      <c r="O85" s="24">
        <f t="shared" si="10"/>
        <v>17998400</v>
      </c>
      <c r="P85" s="6" t="s">
        <v>497</v>
      </c>
      <c r="Q85">
        <f t="shared" ca="1" si="11"/>
        <v>100000</v>
      </c>
      <c r="R85" s="6" t="s">
        <v>506</v>
      </c>
      <c r="S85" s="6">
        <v>1.77</v>
      </c>
      <c r="T85" s="9">
        <f t="shared" ca="1" si="12"/>
        <v>46296</v>
      </c>
      <c r="U85" s="6">
        <f t="shared" ca="1" si="13"/>
        <v>456</v>
      </c>
      <c r="V85" s="6" t="str">
        <f t="shared" ca="1" si="14"/>
        <v>Com Contrato em vigor</v>
      </c>
      <c r="W85" s="34">
        <f t="shared" si="15"/>
        <v>5160000</v>
      </c>
      <c r="X85" s="34">
        <f t="shared" si="16"/>
        <v>11180000</v>
      </c>
    </row>
    <row r="86" spans="1:24">
      <c r="A86" s="6" t="s">
        <v>106</v>
      </c>
      <c r="B86" t="s">
        <v>321</v>
      </c>
      <c r="C86" s="6" t="s">
        <v>321</v>
      </c>
      <c r="D86" s="6" t="s">
        <v>305</v>
      </c>
      <c r="E86">
        <f t="shared" ca="1" si="9"/>
        <v>27</v>
      </c>
      <c r="F86" s="11">
        <v>36236</v>
      </c>
      <c r="G86" s="9">
        <v>44927</v>
      </c>
      <c r="H86" s="9">
        <v>46387</v>
      </c>
      <c r="I86" s="12">
        <v>800000</v>
      </c>
      <c r="J86" s="6" t="s">
        <v>400</v>
      </c>
      <c r="K86" s="6" t="s">
        <v>499</v>
      </c>
      <c r="L86" s="6">
        <v>3</v>
      </c>
      <c r="M86" s="6">
        <v>21</v>
      </c>
      <c r="N86" s="12">
        <v>4130009</v>
      </c>
      <c r="O86" s="24">
        <f t="shared" si="10"/>
        <v>14455031.5</v>
      </c>
      <c r="P86" s="6" t="s">
        <v>493</v>
      </c>
      <c r="Q86">
        <f t="shared" ca="1" si="11"/>
        <v>120000</v>
      </c>
      <c r="R86" s="6" t="s">
        <v>503</v>
      </c>
      <c r="S86" s="6">
        <v>1.77</v>
      </c>
      <c r="T86" s="9">
        <f t="shared" ca="1" si="12"/>
        <v>46296</v>
      </c>
      <c r="U86" s="6">
        <f t="shared" ca="1" si="13"/>
        <v>91</v>
      </c>
      <c r="V86" s="6" t="str">
        <f t="shared" ca="1" si="14"/>
        <v>Pre contrato</v>
      </c>
      <c r="W86" s="34">
        <f t="shared" si="15"/>
        <v>4800000</v>
      </c>
      <c r="X86" s="34">
        <f t="shared" si="16"/>
        <v>10400000</v>
      </c>
    </row>
    <row r="87" spans="1:24">
      <c r="A87" s="6" t="s">
        <v>107</v>
      </c>
      <c r="B87" t="s">
        <v>321</v>
      </c>
      <c r="C87" s="6" t="s">
        <v>321</v>
      </c>
      <c r="D87" s="6" t="s">
        <v>305</v>
      </c>
      <c r="E87">
        <f t="shared" ca="1" si="9"/>
        <v>26</v>
      </c>
      <c r="F87" s="11">
        <v>36722</v>
      </c>
      <c r="G87" s="9">
        <v>45108</v>
      </c>
      <c r="H87" s="9">
        <v>46387</v>
      </c>
      <c r="I87" s="12">
        <v>1320000</v>
      </c>
      <c r="J87" s="6" t="s">
        <v>401</v>
      </c>
      <c r="K87" s="6" t="s">
        <v>500</v>
      </c>
      <c r="L87" s="6">
        <v>0</v>
      </c>
      <c r="M87" s="6">
        <v>0</v>
      </c>
      <c r="N87" s="12">
        <v>11140000</v>
      </c>
      <c r="O87" s="24">
        <f t="shared" si="10"/>
        <v>38990000</v>
      </c>
      <c r="P87" s="6" t="s">
        <v>493</v>
      </c>
      <c r="Q87">
        <f t="shared" ca="1" si="11"/>
        <v>120000</v>
      </c>
      <c r="R87" s="6" t="s">
        <v>503</v>
      </c>
      <c r="S87" s="6">
        <v>1.77</v>
      </c>
      <c r="T87" s="9">
        <f t="shared" ca="1" si="12"/>
        <v>46296</v>
      </c>
      <c r="U87" s="6">
        <f t="shared" ca="1" si="13"/>
        <v>91</v>
      </c>
      <c r="V87" s="6" t="str">
        <f t="shared" ca="1" si="14"/>
        <v>Pre contrato</v>
      </c>
      <c r="W87" s="34">
        <f t="shared" si="15"/>
        <v>7920000</v>
      </c>
      <c r="X87" s="34">
        <f t="shared" si="16"/>
        <v>17160000</v>
      </c>
    </row>
    <row r="88" spans="1:24">
      <c r="A88" s="6" t="s">
        <v>108</v>
      </c>
      <c r="B88" t="s">
        <v>321</v>
      </c>
      <c r="C88" s="6" t="s">
        <v>321</v>
      </c>
      <c r="D88" s="6" t="s">
        <v>305</v>
      </c>
      <c r="E88">
        <f t="shared" ca="1" si="9"/>
        <v>34</v>
      </c>
      <c r="F88" s="13">
        <v>33855</v>
      </c>
      <c r="G88" s="9">
        <v>45474</v>
      </c>
      <c r="H88" s="9">
        <v>46752</v>
      </c>
      <c r="I88" s="12">
        <v>1140000</v>
      </c>
      <c r="J88" s="6" t="s">
        <v>402</v>
      </c>
      <c r="K88" s="6" t="s">
        <v>500</v>
      </c>
      <c r="L88" s="6">
        <v>0</v>
      </c>
      <c r="M88" s="6">
        <v>0</v>
      </c>
      <c r="N88" s="12">
        <v>7500000</v>
      </c>
      <c r="O88" s="24">
        <f t="shared" si="10"/>
        <v>26250000</v>
      </c>
      <c r="P88" s="6" t="s">
        <v>493</v>
      </c>
      <c r="Q88">
        <f t="shared" ca="1" si="11"/>
        <v>100000</v>
      </c>
      <c r="R88" s="6" t="s">
        <v>503</v>
      </c>
      <c r="S88" s="6">
        <v>1.64</v>
      </c>
      <c r="T88" s="9">
        <f t="shared" ca="1" si="12"/>
        <v>46296</v>
      </c>
      <c r="U88" s="6">
        <f t="shared" ca="1" si="13"/>
        <v>456</v>
      </c>
      <c r="V88" s="6" t="str">
        <f t="shared" ca="1" si="14"/>
        <v>Com Contrato em vigor</v>
      </c>
      <c r="W88" s="34">
        <f t="shared" si="15"/>
        <v>6840000</v>
      </c>
      <c r="X88" s="34">
        <f t="shared" si="16"/>
        <v>14820000</v>
      </c>
    </row>
    <row r="89" spans="1:24">
      <c r="A89" s="6" t="s">
        <v>109</v>
      </c>
      <c r="B89" t="s">
        <v>321</v>
      </c>
      <c r="C89" s="6" t="s">
        <v>321</v>
      </c>
      <c r="D89" s="6" t="s">
        <v>305</v>
      </c>
      <c r="E89">
        <f t="shared" ca="1" si="9"/>
        <v>40</v>
      </c>
      <c r="F89" s="11">
        <v>31618</v>
      </c>
      <c r="G89" s="9">
        <v>45134</v>
      </c>
      <c r="H89" s="9">
        <v>46387</v>
      </c>
      <c r="I89" s="12">
        <v>1723012</v>
      </c>
      <c r="J89" s="6" t="s">
        <v>403</v>
      </c>
      <c r="K89" s="6" t="s">
        <v>500</v>
      </c>
      <c r="L89" s="6">
        <v>4</v>
      </c>
      <c r="M89" s="6">
        <v>43</v>
      </c>
      <c r="N89" s="12">
        <v>6510000</v>
      </c>
      <c r="O89" s="24">
        <f t="shared" si="10"/>
        <v>22785000</v>
      </c>
      <c r="P89" s="6" t="s">
        <v>497</v>
      </c>
      <c r="Q89">
        <f t="shared" ca="1" si="11"/>
        <v>100000</v>
      </c>
      <c r="R89" s="6" t="s">
        <v>506</v>
      </c>
      <c r="S89" s="6">
        <v>1.7</v>
      </c>
      <c r="T89" s="9">
        <f t="shared" ca="1" si="12"/>
        <v>46296</v>
      </c>
      <c r="U89" s="6">
        <f t="shared" ca="1" si="13"/>
        <v>91</v>
      </c>
      <c r="V89" s="6" t="str">
        <f t="shared" ca="1" si="14"/>
        <v>Pre contrato</v>
      </c>
      <c r="W89" s="34">
        <f t="shared" si="15"/>
        <v>10338072</v>
      </c>
      <c r="X89" s="34">
        <f t="shared" si="16"/>
        <v>22399156</v>
      </c>
    </row>
    <row r="90" spans="1:24">
      <c r="A90" s="6" t="s">
        <v>110</v>
      </c>
      <c r="B90" t="s">
        <v>321</v>
      </c>
      <c r="C90" s="6" t="s">
        <v>321</v>
      </c>
      <c r="D90" s="6" t="s">
        <v>322</v>
      </c>
      <c r="E90">
        <f t="shared" ca="1" si="9"/>
        <v>36</v>
      </c>
      <c r="F90" s="11">
        <v>32832</v>
      </c>
      <c r="G90" s="9">
        <v>44144</v>
      </c>
      <c r="H90" s="9">
        <v>45657</v>
      </c>
      <c r="I90" s="12">
        <v>650210</v>
      </c>
      <c r="J90" s="15" t="s">
        <v>404</v>
      </c>
      <c r="K90" s="6" t="s">
        <v>500</v>
      </c>
      <c r="L90" s="6">
        <v>3</v>
      </c>
      <c r="M90" s="6">
        <v>46</v>
      </c>
      <c r="N90" s="12">
        <v>241000</v>
      </c>
      <c r="O90" s="24">
        <f t="shared" si="10"/>
        <v>843500</v>
      </c>
      <c r="P90" s="6" t="s">
        <v>493</v>
      </c>
      <c r="Q90">
        <f t="shared" ca="1" si="11"/>
        <v>100000</v>
      </c>
      <c r="R90" s="6" t="s">
        <v>503</v>
      </c>
      <c r="S90" s="6">
        <v>1.74</v>
      </c>
      <c r="T90" s="9">
        <f t="shared" ca="1" si="12"/>
        <v>46296</v>
      </c>
      <c r="U90" s="6">
        <f t="shared" ca="1" si="13"/>
        <v>-639</v>
      </c>
      <c r="V90" s="6" t="str">
        <f t="shared" ca="1" si="14"/>
        <v>Pre contrato</v>
      </c>
      <c r="W90" s="34">
        <f t="shared" si="15"/>
        <v>3901260</v>
      </c>
      <c r="X90" s="34">
        <f t="shared" si="16"/>
        <v>8452730</v>
      </c>
    </row>
    <row r="91" spans="1:24">
      <c r="A91" s="6" t="s">
        <v>111</v>
      </c>
      <c r="B91" t="s">
        <v>321</v>
      </c>
      <c r="C91" s="6" t="s">
        <v>321</v>
      </c>
      <c r="D91" s="6" t="s">
        <v>305</v>
      </c>
      <c r="E91">
        <f t="shared" ca="1" si="9"/>
        <v>35</v>
      </c>
      <c r="F91" s="11">
        <v>33366</v>
      </c>
      <c r="G91" s="9">
        <v>45511</v>
      </c>
      <c r="H91" s="9">
        <v>46022</v>
      </c>
      <c r="I91" s="12">
        <v>651000</v>
      </c>
      <c r="J91" s="15" t="s">
        <v>405</v>
      </c>
      <c r="K91" s="6" t="s">
        <v>500</v>
      </c>
      <c r="L91" s="6">
        <v>0</v>
      </c>
      <c r="M91" s="6">
        <v>0</v>
      </c>
      <c r="N91" s="12">
        <v>3000000</v>
      </c>
      <c r="O91" s="24">
        <f t="shared" si="10"/>
        <v>10500000</v>
      </c>
      <c r="P91" s="6" t="s">
        <v>497</v>
      </c>
      <c r="Q91">
        <f t="shared" ca="1" si="11"/>
        <v>100000</v>
      </c>
      <c r="R91" s="6" t="s">
        <v>503</v>
      </c>
      <c r="S91" s="6">
        <v>1.87</v>
      </c>
      <c r="T91" s="9">
        <f t="shared" ca="1" si="12"/>
        <v>46296</v>
      </c>
      <c r="U91" s="6">
        <f t="shared" ca="1" si="13"/>
        <v>-274</v>
      </c>
      <c r="V91" s="6" t="str">
        <f t="shared" ca="1" si="14"/>
        <v>Pre contrato</v>
      </c>
      <c r="W91" s="34">
        <f t="shared" si="15"/>
        <v>3906000</v>
      </c>
      <c r="X91" s="34">
        <f t="shared" si="16"/>
        <v>8463000</v>
      </c>
    </row>
    <row r="92" spans="1:24">
      <c r="A92" s="6" t="s">
        <v>112</v>
      </c>
      <c r="B92" t="s">
        <v>321</v>
      </c>
      <c r="C92" s="6" t="s">
        <v>321</v>
      </c>
      <c r="D92" s="6" t="s">
        <v>305</v>
      </c>
      <c r="E92">
        <f t="shared" ca="1" si="9"/>
        <v>37</v>
      </c>
      <c r="F92" s="11">
        <v>32520</v>
      </c>
      <c r="G92" s="9">
        <v>44760</v>
      </c>
      <c r="H92" s="9">
        <v>45657</v>
      </c>
      <c r="I92" s="12">
        <v>560000</v>
      </c>
      <c r="J92" s="6" t="s">
        <v>352</v>
      </c>
      <c r="K92" s="6" t="s">
        <v>500</v>
      </c>
      <c r="L92" s="6">
        <v>0</v>
      </c>
      <c r="M92" s="6">
        <v>0</v>
      </c>
      <c r="N92" s="12">
        <v>500000</v>
      </c>
      <c r="O92" s="24">
        <f t="shared" si="10"/>
        <v>1750000</v>
      </c>
      <c r="P92" s="6" t="s">
        <v>493</v>
      </c>
      <c r="Q92">
        <f t="shared" ca="1" si="11"/>
        <v>100000</v>
      </c>
      <c r="R92" s="6" t="s">
        <v>506</v>
      </c>
      <c r="S92" s="6">
        <v>1.9</v>
      </c>
      <c r="T92" s="9">
        <f t="shared" ca="1" si="12"/>
        <v>46296</v>
      </c>
      <c r="U92" s="6">
        <f t="shared" ca="1" si="13"/>
        <v>-639</v>
      </c>
      <c r="V92" s="6" t="str">
        <f t="shared" ca="1" si="14"/>
        <v>Pre contrato</v>
      </c>
      <c r="W92" s="34">
        <f t="shared" si="15"/>
        <v>3360000</v>
      </c>
      <c r="X92" s="34">
        <f t="shared" si="16"/>
        <v>7280000</v>
      </c>
    </row>
    <row r="93" spans="1:24">
      <c r="A93" s="6" t="s">
        <v>171</v>
      </c>
      <c r="B93" t="s">
        <v>326</v>
      </c>
      <c r="C93" s="6" t="s">
        <v>326</v>
      </c>
      <c r="D93" s="6" t="s">
        <v>305</v>
      </c>
      <c r="E93">
        <f t="shared" ca="1" si="9"/>
        <v>30</v>
      </c>
      <c r="F93" s="11">
        <v>35108</v>
      </c>
      <c r="G93" s="9">
        <v>45295</v>
      </c>
      <c r="H93" s="9">
        <v>46568</v>
      </c>
      <c r="I93" s="12">
        <v>800000</v>
      </c>
      <c r="J93" s="6" t="s">
        <v>445</v>
      </c>
      <c r="K93" s="6" t="s">
        <v>495</v>
      </c>
      <c r="L93" s="6">
        <v>0</v>
      </c>
      <c r="M93" s="6">
        <v>0</v>
      </c>
      <c r="N93" s="12">
        <v>10000000</v>
      </c>
      <c r="O93" s="24">
        <f t="shared" si="10"/>
        <v>35000000</v>
      </c>
      <c r="P93" s="6" t="s">
        <v>493</v>
      </c>
      <c r="Q93">
        <f t="shared" ca="1" si="11"/>
        <v>120000</v>
      </c>
      <c r="R93" s="6" t="s">
        <v>503</v>
      </c>
      <c r="S93" s="15">
        <v>1.97</v>
      </c>
      <c r="T93" s="9">
        <f t="shared" ca="1" si="12"/>
        <v>46296</v>
      </c>
      <c r="U93" s="6">
        <f t="shared" ca="1" si="13"/>
        <v>272</v>
      </c>
      <c r="V93" s="6" t="str">
        <f t="shared" ca="1" si="14"/>
        <v>Com Contrato em vigor</v>
      </c>
      <c r="W93" s="34">
        <f t="shared" si="15"/>
        <v>4800000</v>
      </c>
      <c r="X93" s="34">
        <f t="shared" si="16"/>
        <v>10400000</v>
      </c>
    </row>
    <row r="94" spans="1:24">
      <c r="A94" s="6" t="s">
        <v>172</v>
      </c>
      <c r="B94" t="s">
        <v>326</v>
      </c>
      <c r="C94" s="6" t="s">
        <v>326</v>
      </c>
      <c r="D94" s="6" t="s">
        <v>312</v>
      </c>
      <c r="E94">
        <f t="shared" ca="1" si="9"/>
        <v>38</v>
      </c>
      <c r="F94" s="11">
        <v>32231</v>
      </c>
      <c r="G94" s="9">
        <v>42736</v>
      </c>
      <c r="H94" s="9">
        <v>45657</v>
      </c>
      <c r="I94" s="12">
        <v>750000</v>
      </c>
      <c r="J94" s="6" t="s">
        <v>446</v>
      </c>
      <c r="K94" s="6" t="s">
        <v>495</v>
      </c>
      <c r="L94" s="6">
        <v>4</v>
      </c>
      <c r="M94" s="6">
        <v>61</v>
      </c>
      <c r="N94" s="12">
        <v>6000000</v>
      </c>
      <c r="O94" s="24">
        <f t="shared" si="10"/>
        <v>21000000</v>
      </c>
      <c r="P94" s="6" t="s">
        <v>493</v>
      </c>
      <c r="Q94">
        <f t="shared" ca="1" si="11"/>
        <v>100000</v>
      </c>
      <c r="R94" s="6" t="s">
        <v>506</v>
      </c>
      <c r="S94" s="6">
        <v>1.91</v>
      </c>
      <c r="T94" s="9">
        <f t="shared" ca="1" si="12"/>
        <v>46296</v>
      </c>
      <c r="U94" s="6">
        <f t="shared" ca="1" si="13"/>
        <v>-639</v>
      </c>
      <c r="V94" s="6" t="str">
        <f t="shared" ca="1" si="14"/>
        <v>Pre contrato</v>
      </c>
      <c r="W94" s="34">
        <f t="shared" si="15"/>
        <v>4500000</v>
      </c>
      <c r="X94" s="34">
        <f t="shared" si="16"/>
        <v>9750000</v>
      </c>
    </row>
    <row r="95" spans="1:24">
      <c r="A95" s="6" t="s">
        <v>173</v>
      </c>
      <c r="B95" t="s">
        <v>326</v>
      </c>
      <c r="C95" s="6" t="s">
        <v>326</v>
      </c>
      <c r="D95" s="6" t="s">
        <v>305</v>
      </c>
      <c r="E95">
        <f t="shared" ca="1" si="9"/>
        <v>29</v>
      </c>
      <c r="F95" s="11">
        <v>35639</v>
      </c>
      <c r="G95" s="9">
        <v>45358</v>
      </c>
      <c r="H95" s="9">
        <v>46022</v>
      </c>
      <c r="I95" s="12">
        <v>210000</v>
      </c>
      <c r="J95" s="6" t="s">
        <v>348</v>
      </c>
      <c r="K95" s="6" t="s">
        <v>495</v>
      </c>
      <c r="L95" s="6">
        <v>0</v>
      </c>
      <c r="M95" s="6">
        <v>0</v>
      </c>
      <c r="N95" s="12">
        <v>300000</v>
      </c>
      <c r="O95" s="24">
        <f t="shared" si="10"/>
        <v>1050000</v>
      </c>
      <c r="P95" s="6" t="s">
        <v>493</v>
      </c>
      <c r="Q95">
        <f t="shared" ca="1" si="11"/>
        <v>120000</v>
      </c>
      <c r="R95" s="6" t="s">
        <v>503</v>
      </c>
      <c r="S95" s="6">
        <v>1.9</v>
      </c>
      <c r="T95" s="9">
        <f t="shared" ca="1" si="12"/>
        <v>46296</v>
      </c>
      <c r="U95" s="6">
        <f t="shared" ca="1" si="13"/>
        <v>-274</v>
      </c>
      <c r="V95" s="6" t="str">
        <f t="shared" ca="1" si="14"/>
        <v>Pre contrato</v>
      </c>
      <c r="W95" s="34">
        <f t="shared" si="15"/>
        <v>1260000</v>
      </c>
      <c r="X95" s="34">
        <f t="shared" si="16"/>
        <v>2730000</v>
      </c>
    </row>
    <row r="96" spans="1:24">
      <c r="A96" s="6" t="s">
        <v>174</v>
      </c>
      <c r="B96" t="s">
        <v>326</v>
      </c>
      <c r="C96" s="6" t="s">
        <v>327</v>
      </c>
      <c r="D96" s="6" t="s">
        <v>305</v>
      </c>
      <c r="E96">
        <f t="shared" ca="1" si="9"/>
        <v>28</v>
      </c>
      <c r="F96" s="13">
        <v>35877</v>
      </c>
      <c r="G96" s="9">
        <v>45537</v>
      </c>
      <c r="H96" s="9">
        <v>46934</v>
      </c>
      <c r="I96" s="12">
        <v>680000</v>
      </c>
      <c r="J96" s="6" t="s">
        <v>441</v>
      </c>
      <c r="K96" s="6" t="s">
        <v>492</v>
      </c>
      <c r="L96" s="6">
        <v>0</v>
      </c>
      <c r="M96" s="6">
        <v>0</v>
      </c>
      <c r="N96" s="12">
        <v>4500000</v>
      </c>
      <c r="O96" s="24">
        <f t="shared" si="10"/>
        <v>15750000</v>
      </c>
      <c r="P96" s="6" t="s">
        <v>493</v>
      </c>
      <c r="Q96">
        <f t="shared" ca="1" si="11"/>
        <v>120000</v>
      </c>
      <c r="R96" s="6" t="s">
        <v>506</v>
      </c>
      <c r="S96" s="6">
        <v>1.82</v>
      </c>
      <c r="T96" s="9">
        <f t="shared" ca="1" si="12"/>
        <v>46296</v>
      </c>
      <c r="U96" s="6">
        <f t="shared" ca="1" si="13"/>
        <v>638</v>
      </c>
      <c r="V96" s="6" t="str">
        <f t="shared" ca="1" si="14"/>
        <v>Com Contrato em vigor</v>
      </c>
      <c r="W96" s="34">
        <f t="shared" si="15"/>
        <v>4080000</v>
      </c>
      <c r="X96" s="34">
        <f t="shared" si="16"/>
        <v>8840000</v>
      </c>
    </row>
    <row r="97" spans="1:24">
      <c r="A97" s="6" t="s">
        <v>175</v>
      </c>
      <c r="B97" t="s">
        <v>326</v>
      </c>
      <c r="C97" s="6" t="s">
        <v>326</v>
      </c>
      <c r="D97" s="6" t="s">
        <v>305</v>
      </c>
      <c r="E97">
        <f t="shared" ca="1" si="9"/>
        <v>26</v>
      </c>
      <c r="F97" s="11">
        <v>36648</v>
      </c>
      <c r="G97" s="9">
        <v>45302</v>
      </c>
      <c r="H97" s="9">
        <v>46752</v>
      </c>
      <c r="I97" s="12">
        <v>587000</v>
      </c>
      <c r="J97" s="6" t="s">
        <v>432</v>
      </c>
      <c r="K97" s="6" t="s">
        <v>492</v>
      </c>
      <c r="L97" s="6">
        <v>1</v>
      </c>
      <c r="M97" s="6">
        <v>23</v>
      </c>
      <c r="N97" s="12">
        <v>6000000</v>
      </c>
      <c r="O97" s="24">
        <f t="shared" si="10"/>
        <v>21000000</v>
      </c>
      <c r="P97" s="6" t="s">
        <v>493</v>
      </c>
      <c r="Q97">
        <f t="shared" ca="1" si="11"/>
        <v>120000</v>
      </c>
      <c r="R97" s="6" t="s">
        <v>503</v>
      </c>
      <c r="S97" s="6">
        <v>1.88</v>
      </c>
      <c r="T97" s="9">
        <f t="shared" ca="1" si="12"/>
        <v>46296</v>
      </c>
      <c r="U97" s="6">
        <f t="shared" ca="1" si="13"/>
        <v>456</v>
      </c>
      <c r="V97" s="6" t="str">
        <f t="shared" ca="1" si="14"/>
        <v>Com Contrato em vigor</v>
      </c>
      <c r="W97" s="34">
        <f t="shared" si="15"/>
        <v>3522000</v>
      </c>
      <c r="X97" s="34">
        <f t="shared" si="16"/>
        <v>7631000</v>
      </c>
    </row>
    <row r="98" spans="1:24">
      <c r="A98" s="6" t="s">
        <v>176</v>
      </c>
      <c r="B98" t="s">
        <v>326</v>
      </c>
      <c r="C98" s="6" t="s">
        <v>326</v>
      </c>
      <c r="D98" s="6" t="s">
        <v>342</v>
      </c>
      <c r="E98">
        <f t="shared" ca="1" si="9"/>
        <v>31</v>
      </c>
      <c r="F98" s="13">
        <v>34774</v>
      </c>
      <c r="G98" s="9">
        <v>45302</v>
      </c>
      <c r="H98" s="9">
        <v>46387</v>
      </c>
      <c r="I98" s="12">
        <v>967000</v>
      </c>
      <c r="J98" s="6" t="s">
        <v>447</v>
      </c>
      <c r="K98" s="6" t="s">
        <v>492</v>
      </c>
      <c r="L98" s="6">
        <v>1</v>
      </c>
      <c r="M98" s="6">
        <v>8</v>
      </c>
      <c r="N98" s="12">
        <v>8000000</v>
      </c>
      <c r="O98" s="24">
        <f t="shared" si="10"/>
        <v>28000000</v>
      </c>
      <c r="P98" s="6" t="s">
        <v>493</v>
      </c>
      <c r="Q98">
        <f t="shared" ca="1" si="11"/>
        <v>100000</v>
      </c>
      <c r="R98" s="6" t="s">
        <v>508</v>
      </c>
      <c r="S98" s="6">
        <v>1.93</v>
      </c>
      <c r="T98" s="9">
        <f t="shared" ca="1" si="12"/>
        <v>46296</v>
      </c>
      <c r="U98" s="6">
        <f t="shared" ref="U98:U128" ca="1" si="17">_xlfn.DAYS(H98,T98)</f>
        <v>91</v>
      </c>
      <c r="V98" s="6" t="str">
        <f t="shared" ca="1" si="14"/>
        <v>Pre contrato</v>
      </c>
      <c r="W98" s="34">
        <f t="shared" si="15"/>
        <v>5802000</v>
      </c>
      <c r="X98" s="34">
        <f t="shared" si="16"/>
        <v>12571000</v>
      </c>
    </row>
    <row r="99" spans="1:24">
      <c r="A99" s="6" t="s">
        <v>177</v>
      </c>
      <c r="B99" t="s">
        <v>326</v>
      </c>
      <c r="C99" s="6" t="s">
        <v>326</v>
      </c>
      <c r="D99" s="6" t="s">
        <v>305</v>
      </c>
      <c r="E99">
        <f t="shared" ca="1" si="9"/>
        <v>35</v>
      </c>
      <c r="F99" s="13">
        <v>33410</v>
      </c>
      <c r="G99" s="9">
        <v>45324</v>
      </c>
      <c r="H99" s="9">
        <v>46022</v>
      </c>
      <c r="I99" s="12">
        <v>780000</v>
      </c>
      <c r="J99" s="6" t="s">
        <v>395</v>
      </c>
      <c r="K99" s="6" t="s">
        <v>492</v>
      </c>
      <c r="L99" s="6">
        <v>3</v>
      </c>
      <c r="M99" s="6">
        <v>36</v>
      </c>
      <c r="N99" s="12">
        <v>2000000</v>
      </c>
      <c r="O99" s="24">
        <f t="shared" si="10"/>
        <v>7000000</v>
      </c>
      <c r="P99" s="6" t="s">
        <v>493</v>
      </c>
      <c r="Q99">
        <f t="shared" ca="1" si="11"/>
        <v>100000</v>
      </c>
      <c r="R99" s="6" t="s">
        <v>506</v>
      </c>
      <c r="S99" s="6">
        <v>1.88</v>
      </c>
      <c r="T99" s="9">
        <f t="shared" ca="1" si="12"/>
        <v>46296</v>
      </c>
      <c r="U99" s="6">
        <f t="shared" ca="1" si="17"/>
        <v>-274</v>
      </c>
      <c r="V99" s="6" t="str">
        <f t="shared" ca="1" si="14"/>
        <v>Pre contrato</v>
      </c>
      <c r="W99" s="34">
        <f t="shared" si="15"/>
        <v>4680000</v>
      </c>
      <c r="X99" s="34">
        <f t="shared" si="16"/>
        <v>10140000</v>
      </c>
    </row>
    <row r="100" spans="1:24">
      <c r="A100" s="6" t="s">
        <v>178</v>
      </c>
      <c r="B100" t="s">
        <v>326</v>
      </c>
      <c r="C100" s="6" t="s">
        <v>326</v>
      </c>
      <c r="D100" s="6" t="s">
        <v>305</v>
      </c>
      <c r="E100">
        <f t="shared" ca="1" si="9"/>
        <v>35</v>
      </c>
      <c r="F100" s="11">
        <v>33324</v>
      </c>
      <c r="G100" s="9">
        <v>45167</v>
      </c>
      <c r="H100" s="9">
        <v>46387</v>
      </c>
      <c r="I100" s="12">
        <v>974000</v>
      </c>
      <c r="J100" s="6" t="s">
        <v>390</v>
      </c>
      <c r="K100" s="6" t="s">
        <v>492</v>
      </c>
      <c r="L100" s="6">
        <v>0</v>
      </c>
      <c r="M100" s="6">
        <v>0</v>
      </c>
      <c r="N100" s="12">
        <v>3000000</v>
      </c>
      <c r="O100" s="24">
        <f t="shared" si="10"/>
        <v>10500000</v>
      </c>
      <c r="P100" s="6" t="s">
        <v>493</v>
      </c>
      <c r="Q100">
        <f t="shared" ca="1" si="11"/>
        <v>100000</v>
      </c>
      <c r="R100" s="6" t="s">
        <v>506</v>
      </c>
      <c r="S100" s="6">
        <v>1.84</v>
      </c>
      <c r="T100" s="9">
        <f t="shared" ca="1" si="12"/>
        <v>46296</v>
      </c>
      <c r="U100" s="6">
        <f t="shared" ca="1" si="17"/>
        <v>91</v>
      </c>
      <c r="V100" s="6" t="str">
        <f t="shared" ca="1" si="14"/>
        <v>Pre contrato</v>
      </c>
      <c r="W100" s="34">
        <f t="shared" si="15"/>
        <v>5844000</v>
      </c>
      <c r="X100" s="34">
        <f t="shared" si="16"/>
        <v>12662000</v>
      </c>
    </row>
    <row r="101" spans="1:24">
      <c r="A101" s="6" t="s">
        <v>179</v>
      </c>
      <c r="B101" t="s">
        <v>326</v>
      </c>
      <c r="C101" s="6" t="s">
        <v>326</v>
      </c>
      <c r="D101" s="6" t="s">
        <v>305</v>
      </c>
      <c r="E101">
        <f t="shared" ca="1" si="9"/>
        <v>33</v>
      </c>
      <c r="F101" s="11">
        <v>33953</v>
      </c>
      <c r="G101" s="9">
        <v>45538</v>
      </c>
      <c r="H101" s="9">
        <v>46387</v>
      </c>
      <c r="I101" s="12">
        <v>1000000</v>
      </c>
      <c r="J101" s="6" t="s">
        <v>448</v>
      </c>
      <c r="K101" s="6" t="s">
        <v>496</v>
      </c>
      <c r="L101" s="6">
        <v>0</v>
      </c>
      <c r="M101" s="6">
        <v>0</v>
      </c>
      <c r="N101" s="12">
        <v>10000000</v>
      </c>
      <c r="O101" s="24">
        <f t="shared" si="10"/>
        <v>35000000</v>
      </c>
      <c r="P101" s="6" t="s">
        <v>497</v>
      </c>
      <c r="Q101">
        <f t="shared" ca="1" si="11"/>
        <v>100000</v>
      </c>
      <c r="R101" s="6" t="s">
        <v>503</v>
      </c>
      <c r="S101" s="6">
        <v>1.81</v>
      </c>
      <c r="T101" s="9">
        <f t="shared" ca="1" si="12"/>
        <v>46296</v>
      </c>
      <c r="U101" s="6">
        <f t="shared" ca="1" si="17"/>
        <v>91</v>
      </c>
      <c r="V101" s="6" t="str">
        <f t="shared" ca="1" si="14"/>
        <v>Pre contrato</v>
      </c>
      <c r="W101" s="34">
        <f t="shared" si="15"/>
        <v>6000000</v>
      </c>
      <c r="X101" s="34">
        <f t="shared" si="16"/>
        <v>13000000</v>
      </c>
    </row>
    <row r="102" spans="1:24">
      <c r="A102" s="6" t="s">
        <v>180</v>
      </c>
      <c r="B102" t="s">
        <v>326</v>
      </c>
      <c r="C102" s="6" t="s">
        <v>326</v>
      </c>
      <c r="D102" s="6" t="s">
        <v>305</v>
      </c>
      <c r="E102">
        <f t="shared" ca="1" si="9"/>
        <v>25</v>
      </c>
      <c r="F102" s="11">
        <v>37154</v>
      </c>
      <c r="G102" s="9">
        <v>44562</v>
      </c>
      <c r="H102" s="9">
        <v>46387</v>
      </c>
      <c r="I102" s="12">
        <v>800000</v>
      </c>
      <c r="J102" s="6" t="s">
        <v>449</v>
      </c>
      <c r="K102" s="6" t="s">
        <v>496</v>
      </c>
      <c r="L102" s="6">
        <v>2</v>
      </c>
      <c r="M102" s="6">
        <v>21</v>
      </c>
      <c r="N102" s="12">
        <v>12000000</v>
      </c>
      <c r="O102" s="24">
        <f t="shared" si="10"/>
        <v>42000000</v>
      </c>
      <c r="P102" s="6" t="s">
        <v>497</v>
      </c>
      <c r="Q102">
        <f t="shared" ca="1" si="11"/>
        <v>120000</v>
      </c>
      <c r="R102" s="6" t="s">
        <v>506</v>
      </c>
      <c r="S102" s="6">
        <v>1.75</v>
      </c>
      <c r="T102" s="9">
        <f t="shared" ca="1" si="12"/>
        <v>46296</v>
      </c>
      <c r="U102" s="6">
        <f t="shared" ca="1" si="17"/>
        <v>91</v>
      </c>
      <c r="V102" s="6" t="str">
        <f t="shared" ca="1" si="14"/>
        <v>Pre contrato</v>
      </c>
      <c r="W102" s="34">
        <f t="shared" si="15"/>
        <v>4800000</v>
      </c>
      <c r="X102" s="34">
        <f t="shared" si="16"/>
        <v>10400000</v>
      </c>
    </row>
    <row r="103" spans="1:24">
      <c r="A103" s="6" t="s">
        <v>181</v>
      </c>
      <c r="B103" t="s">
        <v>326</v>
      </c>
      <c r="C103" s="6" t="s">
        <v>326</v>
      </c>
      <c r="D103" s="6" t="s">
        <v>305</v>
      </c>
      <c r="E103">
        <f t="shared" ca="1" si="9"/>
        <v>23</v>
      </c>
      <c r="F103" s="11">
        <v>37668</v>
      </c>
      <c r="G103" s="9">
        <v>45401</v>
      </c>
      <c r="H103" s="9">
        <v>46752</v>
      </c>
      <c r="I103" s="12">
        <v>450000</v>
      </c>
      <c r="J103" s="6" t="s">
        <v>348</v>
      </c>
      <c r="K103" s="6" t="s">
        <v>496</v>
      </c>
      <c r="L103" s="6">
        <v>2</v>
      </c>
      <c r="M103" s="6">
        <v>17</v>
      </c>
      <c r="N103" s="12">
        <v>3000000</v>
      </c>
      <c r="O103" s="24">
        <f t="shared" si="10"/>
        <v>10500000</v>
      </c>
      <c r="P103" s="6" t="s">
        <v>497</v>
      </c>
      <c r="Q103">
        <f t="shared" ca="1" si="11"/>
        <v>160000</v>
      </c>
      <c r="R103" s="6" t="s">
        <v>503</v>
      </c>
      <c r="S103" s="6">
        <v>1.79</v>
      </c>
      <c r="T103" s="9">
        <f t="shared" ca="1" si="12"/>
        <v>46296</v>
      </c>
      <c r="U103" s="6">
        <f t="shared" ca="1" si="17"/>
        <v>456</v>
      </c>
      <c r="V103" s="6" t="str">
        <f t="shared" ca="1" si="14"/>
        <v>Com Contrato em vigor</v>
      </c>
      <c r="W103" s="34">
        <f t="shared" si="15"/>
        <v>2700000</v>
      </c>
      <c r="X103" s="34">
        <f t="shared" si="16"/>
        <v>5850000</v>
      </c>
    </row>
    <row r="104" spans="1:24">
      <c r="A104" s="6" t="s">
        <v>182</v>
      </c>
      <c r="B104" t="s">
        <v>326</v>
      </c>
      <c r="C104" s="6" t="s">
        <v>326</v>
      </c>
      <c r="D104" s="6" t="s">
        <v>305</v>
      </c>
      <c r="E104">
        <f t="shared" ca="1" si="9"/>
        <v>37</v>
      </c>
      <c r="F104" s="11">
        <v>32558</v>
      </c>
      <c r="G104" s="9">
        <v>44760</v>
      </c>
      <c r="H104" s="9">
        <v>45657</v>
      </c>
      <c r="I104" s="12">
        <v>600000</v>
      </c>
      <c r="J104" s="6" t="s">
        <v>450</v>
      </c>
      <c r="K104" s="6" t="s">
        <v>496</v>
      </c>
      <c r="L104" s="6">
        <v>1</v>
      </c>
      <c r="M104" s="6">
        <v>17</v>
      </c>
      <c r="N104" s="12">
        <v>2500000</v>
      </c>
      <c r="O104" s="24">
        <f t="shared" si="10"/>
        <v>8750000</v>
      </c>
      <c r="P104" s="6" t="s">
        <v>497</v>
      </c>
      <c r="Q104">
        <f t="shared" ca="1" si="11"/>
        <v>100000</v>
      </c>
      <c r="R104" s="6" t="s">
        <v>503</v>
      </c>
      <c r="S104" s="6">
        <v>1.78</v>
      </c>
      <c r="T104" s="9">
        <f t="shared" ca="1" si="12"/>
        <v>46296</v>
      </c>
      <c r="U104" s="6">
        <f t="shared" ca="1" si="17"/>
        <v>-639</v>
      </c>
      <c r="V104" s="6" t="str">
        <f t="shared" ca="1" si="14"/>
        <v>Pre contrato</v>
      </c>
      <c r="W104" s="34">
        <f t="shared" si="15"/>
        <v>3600000</v>
      </c>
      <c r="X104" s="34">
        <f t="shared" si="16"/>
        <v>7800000</v>
      </c>
    </row>
    <row r="105" spans="1:24">
      <c r="A105" s="6" t="s">
        <v>183</v>
      </c>
      <c r="B105" t="s">
        <v>326</v>
      </c>
      <c r="C105" s="6" t="s">
        <v>326</v>
      </c>
      <c r="D105" s="6" t="s">
        <v>305</v>
      </c>
      <c r="E105">
        <f t="shared" ca="1" si="9"/>
        <v>27</v>
      </c>
      <c r="F105" s="11">
        <v>36364</v>
      </c>
      <c r="G105" s="9">
        <v>45534</v>
      </c>
      <c r="H105" s="9">
        <v>47483</v>
      </c>
      <c r="I105" s="12">
        <v>680000</v>
      </c>
      <c r="J105" s="6" t="s">
        <v>441</v>
      </c>
      <c r="K105" s="6" t="s">
        <v>498</v>
      </c>
      <c r="L105" s="6">
        <v>0</v>
      </c>
      <c r="M105" s="6">
        <v>0</v>
      </c>
      <c r="N105" s="12">
        <v>15000000</v>
      </c>
      <c r="O105" s="24">
        <f t="shared" si="10"/>
        <v>52500000</v>
      </c>
      <c r="P105" s="6" t="s">
        <v>493</v>
      </c>
      <c r="Q105">
        <f t="shared" ca="1" si="11"/>
        <v>120000</v>
      </c>
      <c r="R105" s="6" t="s">
        <v>506</v>
      </c>
      <c r="S105" s="6">
        <v>1.74</v>
      </c>
      <c r="T105" s="9">
        <f t="shared" ca="1" si="12"/>
        <v>46296</v>
      </c>
      <c r="U105" s="6">
        <f t="shared" ca="1" si="17"/>
        <v>1187</v>
      </c>
      <c r="V105" s="6" t="str">
        <f t="shared" ca="1" si="14"/>
        <v>Com Contrato em vigor</v>
      </c>
      <c r="W105" s="34">
        <f t="shared" si="15"/>
        <v>4080000</v>
      </c>
      <c r="X105" s="34">
        <f t="shared" si="16"/>
        <v>8840000</v>
      </c>
    </row>
    <row r="106" spans="1:24">
      <c r="A106" s="6" t="s">
        <v>184</v>
      </c>
      <c r="B106" t="s">
        <v>326</v>
      </c>
      <c r="C106" s="6" t="s">
        <v>326</v>
      </c>
      <c r="D106" s="6" t="s">
        <v>319</v>
      </c>
      <c r="E106">
        <f t="shared" ca="1" si="9"/>
        <v>23</v>
      </c>
      <c r="F106" s="11">
        <v>37765</v>
      </c>
      <c r="G106" s="9">
        <v>45140</v>
      </c>
      <c r="H106" s="9">
        <v>46387</v>
      </c>
      <c r="I106" s="12">
        <v>650000</v>
      </c>
      <c r="J106" s="6" t="s">
        <v>451</v>
      </c>
      <c r="K106" s="6" t="s">
        <v>498</v>
      </c>
      <c r="L106" s="6">
        <v>0</v>
      </c>
      <c r="M106" s="6">
        <v>0</v>
      </c>
      <c r="N106" s="12">
        <v>2890000</v>
      </c>
      <c r="O106" s="24">
        <f t="shared" si="10"/>
        <v>10115000</v>
      </c>
      <c r="P106" s="6" t="s">
        <v>493</v>
      </c>
      <c r="Q106">
        <f t="shared" ca="1" si="11"/>
        <v>160000</v>
      </c>
      <c r="R106" s="6" t="s">
        <v>506</v>
      </c>
      <c r="S106" s="6">
        <v>1.83</v>
      </c>
      <c r="T106" s="9">
        <f t="shared" ca="1" si="12"/>
        <v>46296</v>
      </c>
      <c r="U106" s="6">
        <f t="shared" ca="1" si="17"/>
        <v>91</v>
      </c>
      <c r="V106" s="6" t="str">
        <f t="shared" ca="1" si="14"/>
        <v>Pre contrato</v>
      </c>
      <c r="W106" s="34">
        <f t="shared" si="15"/>
        <v>3900000</v>
      </c>
      <c r="X106" s="34">
        <f t="shared" si="16"/>
        <v>8450000</v>
      </c>
    </row>
    <row r="107" spans="1:24">
      <c r="A107" s="6" t="s">
        <v>185</v>
      </c>
      <c r="B107" t="s">
        <v>326</v>
      </c>
      <c r="C107" s="6" t="s">
        <v>326</v>
      </c>
      <c r="D107" s="6" t="s">
        <v>305</v>
      </c>
      <c r="E107">
        <f t="shared" ca="1" si="9"/>
        <v>36</v>
      </c>
      <c r="F107" s="11">
        <v>33063</v>
      </c>
      <c r="G107" s="11">
        <v>44440</v>
      </c>
      <c r="H107" s="9">
        <v>45657</v>
      </c>
      <c r="I107" s="12">
        <v>700000</v>
      </c>
      <c r="J107" s="6" t="s">
        <v>437</v>
      </c>
      <c r="K107" s="6" t="s">
        <v>498</v>
      </c>
      <c r="L107" s="6">
        <v>0</v>
      </c>
      <c r="M107" s="6">
        <v>0</v>
      </c>
      <c r="N107" s="12">
        <v>3000000</v>
      </c>
      <c r="O107" s="24">
        <f t="shared" si="10"/>
        <v>10500000</v>
      </c>
      <c r="P107" s="6" t="s">
        <v>493</v>
      </c>
      <c r="Q107">
        <f t="shared" ca="1" si="11"/>
        <v>100000</v>
      </c>
      <c r="R107" s="6" t="s">
        <v>506</v>
      </c>
      <c r="S107" s="6">
        <v>1.72</v>
      </c>
      <c r="T107" s="9">
        <f t="shared" ca="1" si="12"/>
        <v>46296</v>
      </c>
      <c r="U107" s="6">
        <f t="shared" ca="1" si="17"/>
        <v>-639</v>
      </c>
      <c r="V107" s="6" t="str">
        <f t="shared" ca="1" si="14"/>
        <v>Pre contrato</v>
      </c>
      <c r="W107" s="34">
        <f t="shared" si="15"/>
        <v>4200000</v>
      </c>
      <c r="X107" s="34">
        <f t="shared" si="16"/>
        <v>9100000</v>
      </c>
    </row>
    <row r="108" spans="1:24">
      <c r="A108" s="6" t="s">
        <v>186</v>
      </c>
      <c r="B108" t="s">
        <v>326</v>
      </c>
      <c r="C108" s="6" t="s">
        <v>326</v>
      </c>
      <c r="D108" s="6" t="s">
        <v>305</v>
      </c>
      <c r="E108">
        <f t="shared" ca="1" si="9"/>
        <v>31</v>
      </c>
      <c r="F108" s="13">
        <v>34785</v>
      </c>
      <c r="G108" s="9">
        <v>44927</v>
      </c>
      <c r="H108" s="9">
        <v>46387</v>
      </c>
      <c r="I108" s="12">
        <v>820000</v>
      </c>
      <c r="J108" s="15" t="s">
        <v>373</v>
      </c>
      <c r="K108" s="6" t="s">
        <v>494</v>
      </c>
      <c r="L108" s="6">
        <v>0</v>
      </c>
      <c r="M108" s="6">
        <v>0</v>
      </c>
      <c r="N108" s="12">
        <v>5000000</v>
      </c>
      <c r="O108" s="24">
        <f t="shared" si="10"/>
        <v>17500000</v>
      </c>
      <c r="P108" s="6" t="s">
        <v>493</v>
      </c>
      <c r="Q108">
        <f t="shared" ca="1" si="11"/>
        <v>100000</v>
      </c>
      <c r="R108" s="6" t="s">
        <v>506</v>
      </c>
      <c r="S108" s="6">
        <v>1.85</v>
      </c>
      <c r="T108" s="9">
        <f t="shared" ca="1" si="12"/>
        <v>46296</v>
      </c>
      <c r="U108" s="6">
        <f t="shared" ca="1" si="17"/>
        <v>91</v>
      </c>
      <c r="V108" s="6" t="str">
        <f t="shared" ca="1" si="14"/>
        <v>Pre contrato</v>
      </c>
      <c r="W108" s="34">
        <f t="shared" si="15"/>
        <v>4920000</v>
      </c>
      <c r="X108" s="34">
        <f t="shared" si="16"/>
        <v>10660000</v>
      </c>
    </row>
    <row r="109" spans="1:24">
      <c r="A109" s="6" t="s">
        <v>187</v>
      </c>
      <c r="B109" t="s">
        <v>326</v>
      </c>
      <c r="C109" s="6" t="s">
        <v>326</v>
      </c>
      <c r="D109" s="6" t="s">
        <v>305</v>
      </c>
      <c r="E109">
        <f t="shared" ca="1" si="9"/>
        <v>35</v>
      </c>
      <c r="F109" s="13">
        <v>33246</v>
      </c>
      <c r="G109" s="9">
        <v>45483</v>
      </c>
      <c r="H109" s="9">
        <v>46387</v>
      </c>
      <c r="I109" s="12">
        <v>645000</v>
      </c>
      <c r="J109" s="6" t="s">
        <v>348</v>
      </c>
      <c r="K109" s="6" t="s">
        <v>494</v>
      </c>
      <c r="L109" s="6">
        <v>1</v>
      </c>
      <c r="M109" s="6">
        <v>15</v>
      </c>
      <c r="N109" s="12">
        <v>6000000</v>
      </c>
      <c r="O109" s="24">
        <f t="shared" si="10"/>
        <v>21000000</v>
      </c>
      <c r="P109" s="6" t="s">
        <v>493</v>
      </c>
      <c r="Q109">
        <f t="shared" ca="1" si="11"/>
        <v>100000</v>
      </c>
      <c r="R109" s="6" t="s">
        <v>506</v>
      </c>
      <c r="S109" s="6">
        <v>1.75</v>
      </c>
      <c r="T109" s="9">
        <f t="shared" ca="1" si="12"/>
        <v>46296</v>
      </c>
      <c r="U109" s="6">
        <f t="shared" ca="1" si="17"/>
        <v>91</v>
      </c>
      <c r="V109" s="6" t="str">
        <f t="shared" ca="1" si="14"/>
        <v>Pre contrato</v>
      </c>
      <c r="W109" s="34">
        <f t="shared" si="15"/>
        <v>3870000</v>
      </c>
      <c r="X109" s="34">
        <f t="shared" si="16"/>
        <v>8385000</v>
      </c>
    </row>
    <row r="110" spans="1:24">
      <c r="A110" s="6" t="s">
        <v>188</v>
      </c>
      <c r="B110" t="s">
        <v>326</v>
      </c>
      <c r="C110" s="6" t="s">
        <v>326</v>
      </c>
      <c r="D110" s="6" t="s">
        <v>305</v>
      </c>
      <c r="E110">
        <f t="shared" ca="1" si="9"/>
        <v>32</v>
      </c>
      <c r="F110" s="11">
        <v>34395</v>
      </c>
      <c r="G110" s="9">
        <v>45341</v>
      </c>
      <c r="H110" s="9">
        <v>46387</v>
      </c>
      <c r="I110" s="12">
        <v>700000</v>
      </c>
      <c r="J110" s="15" t="s">
        <v>379</v>
      </c>
      <c r="K110" s="6" t="s">
        <v>494</v>
      </c>
      <c r="L110" s="6">
        <v>1</v>
      </c>
      <c r="M110" s="6">
        <v>7</v>
      </c>
      <c r="N110" s="12">
        <v>4000000</v>
      </c>
      <c r="O110" s="24">
        <f t="shared" si="10"/>
        <v>14000000</v>
      </c>
      <c r="P110" s="6" t="s">
        <v>493</v>
      </c>
      <c r="Q110">
        <f t="shared" ca="1" si="11"/>
        <v>100000</v>
      </c>
      <c r="R110" s="6" t="s">
        <v>506</v>
      </c>
      <c r="S110" s="6">
        <v>1.81</v>
      </c>
      <c r="T110" s="9">
        <f t="shared" ca="1" si="12"/>
        <v>46296</v>
      </c>
      <c r="U110" s="6">
        <f t="shared" ca="1" si="17"/>
        <v>91</v>
      </c>
      <c r="V110" s="6" t="str">
        <f t="shared" ca="1" si="14"/>
        <v>Pre contrato</v>
      </c>
      <c r="W110" s="34">
        <f t="shared" si="15"/>
        <v>4200000</v>
      </c>
      <c r="X110" s="34">
        <f t="shared" si="16"/>
        <v>9100000</v>
      </c>
    </row>
    <row r="111" spans="1:24">
      <c r="A111" s="6" t="s">
        <v>189</v>
      </c>
      <c r="B111" t="s">
        <v>326</v>
      </c>
      <c r="C111" s="6" t="s">
        <v>326</v>
      </c>
      <c r="D111" s="6" t="s">
        <v>305</v>
      </c>
      <c r="E111">
        <f t="shared" ca="1" si="9"/>
        <v>30</v>
      </c>
      <c r="F111" s="11">
        <v>35123</v>
      </c>
      <c r="G111" s="9">
        <v>44785</v>
      </c>
      <c r="H111" s="9">
        <v>45838</v>
      </c>
      <c r="I111" s="12">
        <v>460000</v>
      </c>
      <c r="J111" s="6" t="s">
        <v>413</v>
      </c>
      <c r="K111" s="6" t="s">
        <v>494</v>
      </c>
      <c r="L111" s="6">
        <v>0</v>
      </c>
      <c r="M111" s="6">
        <v>0</v>
      </c>
      <c r="N111" s="12">
        <v>3500000</v>
      </c>
      <c r="O111" s="24">
        <f t="shared" si="10"/>
        <v>12250000</v>
      </c>
      <c r="P111" s="6" t="s">
        <v>493</v>
      </c>
      <c r="Q111">
        <f t="shared" ca="1" si="11"/>
        <v>120000</v>
      </c>
      <c r="R111" s="6" t="s">
        <v>506</v>
      </c>
      <c r="S111" s="6">
        <v>1.83</v>
      </c>
      <c r="T111" s="9">
        <f t="shared" ca="1" si="12"/>
        <v>46296</v>
      </c>
      <c r="U111" s="6">
        <f t="shared" ca="1" si="17"/>
        <v>-458</v>
      </c>
      <c r="V111" s="6" t="str">
        <f t="shared" ca="1" si="14"/>
        <v>Pre contrato</v>
      </c>
      <c r="W111" s="34">
        <f t="shared" si="15"/>
        <v>2760000</v>
      </c>
      <c r="X111" s="34">
        <f t="shared" si="16"/>
        <v>5980000</v>
      </c>
    </row>
    <row r="112" spans="1:24">
      <c r="A112" s="6" t="s">
        <v>190</v>
      </c>
      <c r="B112" t="s">
        <v>326</v>
      </c>
      <c r="C112" s="6" t="s">
        <v>326</v>
      </c>
      <c r="D112" s="6" t="s">
        <v>305</v>
      </c>
      <c r="E112">
        <f t="shared" ca="1" si="9"/>
        <v>21</v>
      </c>
      <c r="F112" s="11">
        <v>38282</v>
      </c>
      <c r="G112" s="9">
        <v>45292</v>
      </c>
      <c r="H112" s="9">
        <v>46112</v>
      </c>
      <c r="I112" s="12">
        <v>200000</v>
      </c>
      <c r="J112" s="6" t="s">
        <v>452</v>
      </c>
      <c r="K112" s="6" t="s">
        <v>494</v>
      </c>
      <c r="L112" s="6">
        <v>0</v>
      </c>
      <c r="M112" s="6">
        <v>0</v>
      </c>
      <c r="N112" s="12">
        <v>1500000</v>
      </c>
      <c r="O112" s="24">
        <f t="shared" si="10"/>
        <v>5250000</v>
      </c>
      <c r="P112" s="6" t="s">
        <v>493</v>
      </c>
      <c r="Q112">
        <f t="shared" ca="1" si="11"/>
        <v>160000</v>
      </c>
      <c r="R112" s="6" t="s">
        <v>506</v>
      </c>
      <c r="S112" s="6">
        <v>1.74</v>
      </c>
      <c r="T112" s="9">
        <f t="shared" ca="1" si="12"/>
        <v>46296</v>
      </c>
      <c r="U112" s="6">
        <f t="shared" ca="1" si="17"/>
        <v>-184</v>
      </c>
      <c r="V112" s="6" t="str">
        <f t="shared" ca="1" si="14"/>
        <v>Pre contrato</v>
      </c>
      <c r="W112" s="34">
        <f t="shared" si="15"/>
        <v>1200000</v>
      </c>
      <c r="X112" s="34">
        <f t="shared" si="16"/>
        <v>2600000</v>
      </c>
    </row>
    <row r="113" spans="1:24">
      <c r="A113" s="6" t="s">
        <v>191</v>
      </c>
      <c r="B113" t="s">
        <v>326</v>
      </c>
      <c r="C113" s="6" t="s">
        <v>326</v>
      </c>
      <c r="D113" s="6" t="s">
        <v>305</v>
      </c>
      <c r="E113">
        <f t="shared" ca="1" si="9"/>
        <v>34</v>
      </c>
      <c r="F113" s="11">
        <v>33846</v>
      </c>
      <c r="G113" s="9">
        <v>44662</v>
      </c>
      <c r="H113" s="9">
        <v>46022</v>
      </c>
      <c r="I113" s="12">
        <v>600000</v>
      </c>
      <c r="J113" s="6" t="s">
        <v>346</v>
      </c>
      <c r="K113" s="6" t="s">
        <v>499</v>
      </c>
      <c r="L113" s="6">
        <v>1</v>
      </c>
      <c r="M113" s="6">
        <v>14</v>
      </c>
      <c r="N113" s="12">
        <v>2750000</v>
      </c>
      <c r="O113" s="24">
        <f t="shared" si="10"/>
        <v>9625000</v>
      </c>
      <c r="P113" s="6" t="s">
        <v>497</v>
      </c>
      <c r="Q113">
        <f t="shared" ca="1" si="11"/>
        <v>100000</v>
      </c>
      <c r="R113" s="6" t="s">
        <v>506</v>
      </c>
      <c r="S113" s="6">
        <v>1.75</v>
      </c>
      <c r="T113" s="9">
        <f t="shared" ca="1" si="12"/>
        <v>46296</v>
      </c>
      <c r="U113" s="6">
        <f t="shared" ca="1" si="17"/>
        <v>-274</v>
      </c>
      <c r="V113" s="6" t="str">
        <f t="shared" ca="1" si="14"/>
        <v>Pre contrato</v>
      </c>
      <c r="W113" s="34">
        <f t="shared" si="15"/>
        <v>3600000</v>
      </c>
      <c r="X113" s="34">
        <f t="shared" si="16"/>
        <v>7800000</v>
      </c>
    </row>
    <row r="114" spans="1:24">
      <c r="A114" s="6" t="s">
        <v>192</v>
      </c>
      <c r="B114" t="s">
        <v>326</v>
      </c>
      <c r="C114" s="6" t="s">
        <v>326</v>
      </c>
      <c r="D114" s="6" t="s">
        <v>342</v>
      </c>
      <c r="E114">
        <f t="shared" ca="1" si="9"/>
        <v>25</v>
      </c>
      <c r="F114" s="11">
        <v>37007</v>
      </c>
      <c r="G114" s="9">
        <v>45483</v>
      </c>
      <c r="H114" s="9">
        <v>47299</v>
      </c>
      <c r="I114" s="12">
        <v>1100000</v>
      </c>
      <c r="J114" s="6" t="s">
        <v>398</v>
      </c>
      <c r="K114" s="6" t="s">
        <v>499</v>
      </c>
      <c r="L114" s="6">
        <v>0</v>
      </c>
      <c r="M114" s="6">
        <v>0</v>
      </c>
      <c r="N114" s="12">
        <v>35000000</v>
      </c>
      <c r="O114" s="24">
        <f t="shared" si="10"/>
        <v>122500000</v>
      </c>
      <c r="P114" s="6" t="s">
        <v>493</v>
      </c>
      <c r="Q114">
        <f t="shared" ca="1" si="11"/>
        <v>120000</v>
      </c>
      <c r="R114" s="6" t="s">
        <v>506</v>
      </c>
      <c r="S114" s="6">
        <v>1.71</v>
      </c>
      <c r="T114" s="9">
        <f t="shared" ca="1" si="12"/>
        <v>46296</v>
      </c>
      <c r="U114" s="6">
        <f t="shared" ca="1" si="17"/>
        <v>1003</v>
      </c>
      <c r="V114" s="6" t="str">
        <f t="shared" ca="1" si="14"/>
        <v>Com Contrato em vigor</v>
      </c>
      <c r="W114" s="34">
        <f t="shared" si="15"/>
        <v>6600000</v>
      </c>
      <c r="X114" s="34">
        <f t="shared" si="16"/>
        <v>14300000</v>
      </c>
    </row>
    <row r="115" spans="1:24">
      <c r="A115" s="6" t="s">
        <v>193</v>
      </c>
      <c r="B115" t="s">
        <v>326</v>
      </c>
      <c r="C115" s="6" t="s">
        <v>326</v>
      </c>
      <c r="D115" s="6" t="s">
        <v>307</v>
      </c>
      <c r="E115">
        <f t="shared" ca="1" si="9"/>
        <v>29</v>
      </c>
      <c r="F115" s="11">
        <v>35380</v>
      </c>
      <c r="G115" s="9">
        <v>45302</v>
      </c>
      <c r="H115" s="9">
        <v>46387</v>
      </c>
      <c r="I115" s="12">
        <v>800000</v>
      </c>
      <c r="J115" s="6" t="s">
        <v>348</v>
      </c>
      <c r="K115" s="6" t="s">
        <v>499</v>
      </c>
      <c r="L115" s="6">
        <v>0</v>
      </c>
      <c r="M115" s="6">
        <v>0</v>
      </c>
      <c r="N115" s="12">
        <v>11000000</v>
      </c>
      <c r="O115" s="24">
        <f t="shared" si="10"/>
        <v>38500000</v>
      </c>
      <c r="P115" s="6" t="s">
        <v>493</v>
      </c>
      <c r="Q115">
        <f t="shared" ca="1" si="11"/>
        <v>120000</v>
      </c>
      <c r="R115" s="6" t="s">
        <v>506</v>
      </c>
      <c r="S115" s="6">
        <v>1.68</v>
      </c>
      <c r="T115" s="9">
        <f t="shared" ca="1" si="12"/>
        <v>46296</v>
      </c>
      <c r="U115" s="6">
        <f t="shared" ca="1" si="17"/>
        <v>91</v>
      </c>
      <c r="V115" s="6" t="str">
        <f t="shared" ca="1" si="14"/>
        <v>Pre contrato</v>
      </c>
      <c r="W115" s="34">
        <f t="shared" si="15"/>
        <v>4800000</v>
      </c>
      <c r="X115" s="34">
        <f t="shared" si="16"/>
        <v>10400000</v>
      </c>
    </row>
    <row r="116" spans="1:24">
      <c r="A116" s="6" t="s">
        <v>194</v>
      </c>
      <c r="B116" t="s">
        <v>326</v>
      </c>
      <c r="C116" s="6" t="s">
        <v>326</v>
      </c>
      <c r="D116" s="6" t="s">
        <v>312</v>
      </c>
      <c r="E116">
        <f t="shared" ca="1" si="9"/>
        <v>34</v>
      </c>
      <c r="F116" s="11">
        <v>33789</v>
      </c>
      <c r="G116" s="9">
        <v>45369</v>
      </c>
      <c r="H116" s="9">
        <v>45657</v>
      </c>
      <c r="I116" s="12">
        <v>650000</v>
      </c>
      <c r="J116" s="15" t="s">
        <v>364</v>
      </c>
      <c r="K116" s="6" t="s">
        <v>499</v>
      </c>
      <c r="L116" s="6">
        <v>2</v>
      </c>
      <c r="M116" s="6">
        <v>23</v>
      </c>
      <c r="N116" s="12">
        <v>5000000</v>
      </c>
      <c r="O116" s="24">
        <f t="shared" si="10"/>
        <v>17500000</v>
      </c>
      <c r="P116" s="6" t="s">
        <v>497</v>
      </c>
      <c r="Q116">
        <f t="shared" ca="1" si="11"/>
        <v>100000</v>
      </c>
      <c r="R116" s="6" t="s">
        <v>503</v>
      </c>
      <c r="S116" s="6">
        <v>1.76</v>
      </c>
      <c r="T116" s="9">
        <f t="shared" ca="1" si="12"/>
        <v>46296</v>
      </c>
      <c r="U116" s="6">
        <f t="shared" ca="1" si="17"/>
        <v>-639</v>
      </c>
      <c r="V116" s="6" t="str">
        <f t="shared" ca="1" si="14"/>
        <v>Pre contrato</v>
      </c>
      <c r="W116" s="34">
        <f t="shared" si="15"/>
        <v>3900000</v>
      </c>
      <c r="X116" s="34">
        <f t="shared" si="16"/>
        <v>8450000</v>
      </c>
    </row>
    <row r="117" spans="1:24">
      <c r="A117" s="6" t="s">
        <v>195</v>
      </c>
      <c r="B117" t="s">
        <v>326</v>
      </c>
      <c r="C117" s="6" t="s">
        <v>326</v>
      </c>
      <c r="D117" s="6" t="s">
        <v>305</v>
      </c>
      <c r="E117">
        <f t="shared" ca="1" si="9"/>
        <v>36</v>
      </c>
      <c r="F117" s="11">
        <v>32798</v>
      </c>
      <c r="G117" s="9">
        <v>44760</v>
      </c>
      <c r="H117" s="9">
        <v>45657</v>
      </c>
      <c r="I117" s="12">
        <v>450000</v>
      </c>
      <c r="J117" s="6" t="s">
        <v>453</v>
      </c>
      <c r="K117" s="6" t="s">
        <v>499</v>
      </c>
      <c r="L117" s="6">
        <v>0</v>
      </c>
      <c r="M117" s="6">
        <v>0</v>
      </c>
      <c r="N117" s="12">
        <v>2000000</v>
      </c>
      <c r="O117" s="24">
        <f t="shared" si="10"/>
        <v>7000000</v>
      </c>
      <c r="P117" s="6" t="s">
        <v>493</v>
      </c>
      <c r="Q117">
        <f t="shared" ca="1" si="11"/>
        <v>100000</v>
      </c>
      <c r="R117" s="6" t="s">
        <v>506</v>
      </c>
      <c r="S117" s="6">
        <v>1.84</v>
      </c>
      <c r="T117" s="9">
        <f t="shared" ca="1" si="12"/>
        <v>46296</v>
      </c>
      <c r="U117" s="6">
        <f t="shared" ca="1" si="17"/>
        <v>-639</v>
      </c>
      <c r="V117" s="6" t="str">
        <f t="shared" ca="1" si="14"/>
        <v>Pre contrato</v>
      </c>
      <c r="W117" s="34">
        <f t="shared" si="15"/>
        <v>2700000</v>
      </c>
      <c r="X117" s="34">
        <f t="shared" si="16"/>
        <v>5850000</v>
      </c>
    </row>
    <row r="118" spans="1:24">
      <c r="A118" s="6" t="s">
        <v>196</v>
      </c>
      <c r="B118" t="s">
        <v>326</v>
      </c>
      <c r="C118" s="6" t="s">
        <v>326</v>
      </c>
      <c r="D118" s="6" t="s">
        <v>305</v>
      </c>
      <c r="E118">
        <f t="shared" ca="1" si="9"/>
        <v>23</v>
      </c>
      <c r="F118" s="11">
        <v>37818</v>
      </c>
      <c r="G118" s="9">
        <v>45503</v>
      </c>
      <c r="H118" s="9">
        <v>47118</v>
      </c>
      <c r="I118" s="12">
        <v>650000</v>
      </c>
      <c r="J118" s="6" t="s">
        <v>440</v>
      </c>
      <c r="K118" s="6" t="s">
        <v>500</v>
      </c>
      <c r="L118" s="6">
        <v>0</v>
      </c>
      <c r="M118" s="6">
        <v>0</v>
      </c>
      <c r="N118" s="12">
        <v>10000000</v>
      </c>
      <c r="O118" s="24">
        <f t="shared" si="10"/>
        <v>35000000</v>
      </c>
      <c r="P118" s="6" t="s">
        <v>493</v>
      </c>
      <c r="Q118">
        <f t="shared" ca="1" si="11"/>
        <v>160000</v>
      </c>
      <c r="R118" s="6" t="s">
        <v>506</v>
      </c>
      <c r="S118" s="6">
        <v>1.79</v>
      </c>
      <c r="T118" s="9">
        <f t="shared" ca="1" si="12"/>
        <v>46296</v>
      </c>
      <c r="U118" s="6">
        <f t="shared" ca="1" si="17"/>
        <v>822</v>
      </c>
      <c r="V118" s="6" t="str">
        <f t="shared" ca="1" si="14"/>
        <v>Com Contrato em vigor</v>
      </c>
      <c r="W118" s="34">
        <f t="shared" si="15"/>
        <v>3900000</v>
      </c>
      <c r="X118" s="34">
        <f t="shared" si="16"/>
        <v>8450000</v>
      </c>
    </row>
    <row r="119" spans="1:24">
      <c r="A119" s="6" t="s">
        <v>197</v>
      </c>
      <c r="B119" t="s">
        <v>326</v>
      </c>
      <c r="C119" s="6" t="s">
        <v>326</v>
      </c>
      <c r="D119" s="6" t="s">
        <v>305</v>
      </c>
      <c r="E119">
        <f t="shared" ca="1" si="9"/>
        <v>26</v>
      </c>
      <c r="F119" s="11">
        <v>36524</v>
      </c>
      <c r="G119" s="9">
        <v>45302</v>
      </c>
      <c r="H119" s="9">
        <v>46568</v>
      </c>
      <c r="I119" s="12">
        <v>560000</v>
      </c>
      <c r="J119" s="6" t="s">
        <v>454</v>
      </c>
      <c r="K119" s="6" t="s">
        <v>500</v>
      </c>
      <c r="L119" s="6">
        <v>0</v>
      </c>
      <c r="M119" s="6">
        <v>0</v>
      </c>
      <c r="N119" s="12">
        <v>5000000</v>
      </c>
      <c r="O119" s="24">
        <f t="shared" si="10"/>
        <v>17500000</v>
      </c>
      <c r="P119" s="6" t="s">
        <v>493</v>
      </c>
      <c r="Q119">
        <f t="shared" ca="1" si="11"/>
        <v>120000</v>
      </c>
      <c r="R119" s="6" t="s">
        <v>506</v>
      </c>
      <c r="S119" s="6">
        <v>1.76</v>
      </c>
      <c r="T119" s="9">
        <f t="shared" ca="1" si="12"/>
        <v>46296</v>
      </c>
      <c r="U119" s="6">
        <f t="shared" ca="1" si="17"/>
        <v>272</v>
      </c>
      <c r="V119" s="6" t="str">
        <f t="shared" ca="1" si="14"/>
        <v>Com Contrato em vigor</v>
      </c>
      <c r="W119" s="34">
        <f t="shared" si="15"/>
        <v>3360000</v>
      </c>
      <c r="X119" s="34">
        <f t="shared" si="16"/>
        <v>7280000</v>
      </c>
    </row>
    <row r="120" spans="1:24">
      <c r="A120" s="6" t="s">
        <v>198</v>
      </c>
      <c r="B120" t="s">
        <v>326</v>
      </c>
      <c r="C120" s="6" t="s">
        <v>326</v>
      </c>
      <c r="D120" s="6" t="s">
        <v>305</v>
      </c>
      <c r="E120">
        <f t="shared" ca="1" si="9"/>
        <v>25</v>
      </c>
      <c r="F120" s="11">
        <v>36893</v>
      </c>
      <c r="G120" s="9">
        <v>45323</v>
      </c>
      <c r="H120" s="9">
        <v>47118</v>
      </c>
      <c r="I120" s="12">
        <v>1500000</v>
      </c>
      <c r="J120" s="6" t="s">
        <v>391</v>
      </c>
      <c r="K120" s="6" t="s">
        <v>500</v>
      </c>
      <c r="L120" s="6">
        <v>0</v>
      </c>
      <c r="M120" s="6">
        <v>0</v>
      </c>
      <c r="N120" s="12">
        <v>75000000</v>
      </c>
      <c r="O120" s="24">
        <f t="shared" si="10"/>
        <v>262500000</v>
      </c>
      <c r="P120" s="6" t="s">
        <v>497</v>
      </c>
      <c r="Q120">
        <f t="shared" ca="1" si="11"/>
        <v>120000</v>
      </c>
      <c r="R120" s="6" t="s">
        <v>506</v>
      </c>
      <c r="S120" s="6">
        <v>1.82</v>
      </c>
      <c r="T120" s="9">
        <f t="shared" ca="1" si="12"/>
        <v>46296</v>
      </c>
      <c r="U120" s="6">
        <f t="shared" ca="1" si="17"/>
        <v>822</v>
      </c>
      <c r="V120" s="6" t="str">
        <f t="shared" ca="1" si="14"/>
        <v>Com Contrato em vigor</v>
      </c>
      <c r="W120" s="34">
        <f t="shared" si="15"/>
        <v>9000000</v>
      </c>
      <c r="X120" s="34">
        <f t="shared" si="16"/>
        <v>19500000</v>
      </c>
    </row>
    <row r="121" spans="1:24">
      <c r="A121" s="6" t="s">
        <v>199</v>
      </c>
      <c r="B121" t="s">
        <v>326</v>
      </c>
      <c r="C121" s="6" t="s">
        <v>326</v>
      </c>
      <c r="D121" s="6" t="s">
        <v>305</v>
      </c>
      <c r="E121">
        <f t="shared" ca="1" si="9"/>
        <v>31</v>
      </c>
      <c r="F121" s="11">
        <v>34618</v>
      </c>
      <c r="G121" s="9">
        <v>45016</v>
      </c>
      <c r="H121" s="9">
        <v>46752</v>
      </c>
      <c r="I121" s="12">
        <v>780000</v>
      </c>
      <c r="J121" s="6" t="s">
        <v>455</v>
      </c>
      <c r="K121" s="6" t="s">
        <v>500</v>
      </c>
      <c r="L121" s="6">
        <v>1</v>
      </c>
      <c r="M121" s="6">
        <v>130</v>
      </c>
      <c r="N121" s="12">
        <v>11000000</v>
      </c>
      <c r="O121" s="24">
        <f t="shared" si="10"/>
        <v>38500000</v>
      </c>
      <c r="P121" s="6" t="s">
        <v>493</v>
      </c>
      <c r="Q121">
        <f t="shared" ca="1" si="11"/>
        <v>100000</v>
      </c>
      <c r="R121" s="6" t="s">
        <v>506</v>
      </c>
      <c r="S121" s="6">
        <v>1.88</v>
      </c>
      <c r="T121" s="9">
        <f t="shared" ca="1" si="12"/>
        <v>46296</v>
      </c>
      <c r="U121" s="6">
        <f t="shared" ca="1" si="17"/>
        <v>456</v>
      </c>
      <c r="V121" s="6" t="str">
        <f t="shared" ca="1" si="14"/>
        <v>Com Contrato em vigor</v>
      </c>
      <c r="W121" s="34">
        <f t="shared" si="15"/>
        <v>4680000</v>
      </c>
      <c r="X121" s="34">
        <f t="shared" si="16"/>
        <v>10140000</v>
      </c>
    </row>
    <row r="122" spans="1:24">
      <c r="A122" s="6" t="s">
        <v>200</v>
      </c>
      <c r="B122" t="s">
        <v>326</v>
      </c>
      <c r="C122" s="6" t="s">
        <v>326</v>
      </c>
      <c r="D122" s="6" t="s">
        <v>305</v>
      </c>
      <c r="E122">
        <f t="shared" ca="1" si="9"/>
        <v>24</v>
      </c>
      <c r="F122" s="11">
        <v>37360</v>
      </c>
      <c r="G122" s="9">
        <v>45292</v>
      </c>
      <c r="H122" s="9">
        <v>46387</v>
      </c>
      <c r="I122" s="12">
        <v>430000</v>
      </c>
      <c r="J122" s="6" t="s">
        <v>376</v>
      </c>
      <c r="K122" s="6" t="s">
        <v>500</v>
      </c>
      <c r="L122" s="6">
        <v>0</v>
      </c>
      <c r="M122" s="6">
        <v>0</v>
      </c>
      <c r="N122" s="12">
        <v>3000000</v>
      </c>
      <c r="O122" s="24">
        <f t="shared" si="10"/>
        <v>10500000</v>
      </c>
      <c r="P122" s="6" t="s">
        <v>493</v>
      </c>
      <c r="Q122">
        <f t="shared" ca="1" si="11"/>
        <v>160000</v>
      </c>
      <c r="R122" s="6" t="s">
        <v>503</v>
      </c>
      <c r="S122" s="6">
        <v>1.81</v>
      </c>
      <c r="T122" s="9">
        <f t="shared" ca="1" si="12"/>
        <v>46296</v>
      </c>
      <c r="U122" s="6">
        <f t="shared" ca="1" si="17"/>
        <v>91</v>
      </c>
      <c r="V122" s="6" t="str">
        <f t="shared" ca="1" si="14"/>
        <v>Pre contrato</v>
      </c>
      <c r="W122" s="34">
        <f t="shared" si="15"/>
        <v>2580000</v>
      </c>
      <c r="X122" s="34">
        <f t="shared" si="16"/>
        <v>5590000</v>
      </c>
    </row>
    <row r="123" spans="1:24">
      <c r="A123" s="6" t="s">
        <v>201</v>
      </c>
      <c r="B123" t="s">
        <v>326</v>
      </c>
      <c r="C123" s="6" t="s">
        <v>326</v>
      </c>
      <c r="D123" s="6" t="s">
        <v>305</v>
      </c>
      <c r="E123">
        <f t="shared" ca="1" si="9"/>
        <v>22</v>
      </c>
      <c r="F123" s="11">
        <v>38049</v>
      </c>
      <c r="G123" s="9">
        <v>44013</v>
      </c>
      <c r="H123" s="9">
        <v>46022</v>
      </c>
      <c r="I123" s="12">
        <v>259000</v>
      </c>
      <c r="J123" s="6" t="s">
        <v>348</v>
      </c>
      <c r="K123" s="6" t="s">
        <v>500</v>
      </c>
      <c r="L123" s="6">
        <v>0</v>
      </c>
      <c r="M123" s="6">
        <v>0</v>
      </c>
      <c r="N123" s="12">
        <v>8000000</v>
      </c>
      <c r="O123" s="24">
        <f t="shared" si="10"/>
        <v>28000000</v>
      </c>
      <c r="P123" s="6" t="s">
        <v>493</v>
      </c>
      <c r="Q123">
        <f t="shared" ca="1" si="11"/>
        <v>160000</v>
      </c>
      <c r="R123" s="6" t="s">
        <v>506</v>
      </c>
      <c r="S123" s="6">
        <v>1.82</v>
      </c>
      <c r="T123" s="9">
        <f t="shared" ca="1" si="12"/>
        <v>46296</v>
      </c>
      <c r="U123" s="6">
        <f t="shared" ca="1" si="17"/>
        <v>-274</v>
      </c>
      <c r="V123" s="6" t="str">
        <f t="shared" ca="1" si="14"/>
        <v>Pre contrato</v>
      </c>
      <c r="W123" s="34">
        <f t="shared" si="15"/>
        <v>1554000</v>
      </c>
      <c r="X123" s="34">
        <f t="shared" si="16"/>
        <v>3367000</v>
      </c>
    </row>
    <row r="124" spans="1:24">
      <c r="A124" s="6" t="s">
        <v>202</v>
      </c>
      <c r="B124" t="s">
        <v>326</v>
      </c>
      <c r="C124" s="6" t="s">
        <v>326</v>
      </c>
      <c r="D124" s="6" t="s">
        <v>305</v>
      </c>
      <c r="E124">
        <f t="shared" ca="1" si="9"/>
        <v>25</v>
      </c>
      <c r="F124" s="11">
        <v>36947</v>
      </c>
      <c r="G124" s="9">
        <v>45483</v>
      </c>
      <c r="H124" s="9">
        <v>46752</v>
      </c>
      <c r="I124" s="12">
        <v>950000</v>
      </c>
      <c r="J124" s="6" t="s">
        <v>456</v>
      </c>
      <c r="K124" s="6" t="s">
        <v>500</v>
      </c>
      <c r="L124" s="6">
        <v>0</v>
      </c>
      <c r="M124" s="6">
        <v>0</v>
      </c>
      <c r="N124" s="12">
        <v>35000000</v>
      </c>
      <c r="O124" s="24">
        <f t="shared" si="10"/>
        <v>122500000</v>
      </c>
      <c r="P124" s="6" t="s">
        <v>493</v>
      </c>
      <c r="Q124">
        <f t="shared" ca="1" si="11"/>
        <v>120000</v>
      </c>
      <c r="R124" s="6" t="s">
        <v>503</v>
      </c>
      <c r="S124" s="6">
        <v>1.79</v>
      </c>
      <c r="T124" s="9">
        <f t="shared" ca="1" si="12"/>
        <v>46296</v>
      </c>
      <c r="U124" s="6">
        <f t="shared" ca="1" si="17"/>
        <v>456</v>
      </c>
      <c r="V124" s="6" t="str">
        <f t="shared" ca="1" si="14"/>
        <v>Com Contrato em vigor</v>
      </c>
      <c r="W124" s="34">
        <f t="shared" si="15"/>
        <v>5700000</v>
      </c>
      <c r="X124" s="34">
        <f t="shared" si="16"/>
        <v>12350000</v>
      </c>
    </row>
    <row r="125" spans="1:24">
      <c r="A125" s="6" t="s">
        <v>203</v>
      </c>
      <c r="B125" t="s">
        <v>326</v>
      </c>
      <c r="C125" s="6" t="s">
        <v>326</v>
      </c>
      <c r="D125" s="6" t="s">
        <v>305</v>
      </c>
      <c r="E125">
        <f t="shared" ca="1" si="9"/>
        <v>35</v>
      </c>
      <c r="F125" s="11">
        <v>33255</v>
      </c>
      <c r="G125" s="9">
        <v>44785</v>
      </c>
      <c r="H125" s="9">
        <v>46387</v>
      </c>
      <c r="I125" s="12">
        <v>830000</v>
      </c>
      <c r="J125" s="6" t="s">
        <v>348</v>
      </c>
      <c r="K125" s="6" t="s">
        <v>500</v>
      </c>
      <c r="L125" s="6">
        <v>2</v>
      </c>
      <c r="M125" s="6">
        <v>21</v>
      </c>
      <c r="N125" s="12">
        <v>15000000</v>
      </c>
      <c r="O125" s="24">
        <f t="shared" si="10"/>
        <v>52500000</v>
      </c>
      <c r="P125" s="6" t="s">
        <v>493</v>
      </c>
      <c r="Q125">
        <f t="shared" ca="1" si="11"/>
        <v>100000</v>
      </c>
      <c r="R125" s="6" t="s">
        <v>505</v>
      </c>
      <c r="S125" s="6">
        <v>1.87</v>
      </c>
      <c r="T125" s="9">
        <f t="shared" ca="1" si="12"/>
        <v>46296</v>
      </c>
      <c r="U125" s="6">
        <f t="shared" ca="1" si="17"/>
        <v>91</v>
      </c>
      <c r="V125" s="6" t="str">
        <f t="shared" ca="1" si="14"/>
        <v>Pre contrato</v>
      </c>
      <c r="W125" s="34">
        <f t="shared" si="15"/>
        <v>4980000</v>
      </c>
      <c r="X125" s="34">
        <f t="shared" si="16"/>
        <v>10790000</v>
      </c>
    </row>
    <row r="126" spans="1:24">
      <c r="A126" t="s">
        <v>541</v>
      </c>
      <c r="B126" t="s">
        <v>542</v>
      </c>
      <c r="C126" t="s">
        <v>542</v>
      </c>
      <c r="D126" s="6" t="s">
        <v>342</v>
      </c>
      <c r="E126">
        <f t="shared" ca="1" si="9"/>
        <v>31</v>
      </c>
      <c r="F126" s="20">
        <v>34932</v>
      </c>
      <c r="G126" s="20">
        <v>45108</v>
      </c>
      <c r="H126" s="20">
        <v>46752</v>
      </c>
      <c r="I126" s="17">
        <v>750000</v>
      </c>
      <c r="J126" t="s">
        <v>348</v>
      </c>
      <c r="K126" s="6" t="s">
        <v>495</v>
      </c>
      <c r="L126">
        <v>0</v>
      </c>
      <c r="M126">
        <v>0</v>
      </c>
      <c r="N126" s="17">
        <v>6000000</v>
      </c>
      <c r="O126" s="24">
        <f t="shared" si="10"/>
        <v>21000000</v>
      </c>
      <c r="P126" t="s">
        <v>493</v>
      </c>
      <c r="Q126">
        <f t="shared" ca="1" si="11"/>
        <v>100000</v>
      </c>
      <c r="R126" t="s">
        <v>506</v>
      </c>
      <c r="S126">
        <v>1.93</v>
      </c>
      <c r="T126" s="20">
        <f t="shared" ca="1" si="12"/>
        <v>46296</v>
      </c>
      <c r="U126">
        <f t="shared" ca="1" si="17"/>
        <v>456</v>
      </c>
      <c r="V126" t="str">
        <f t="shared" ca="1" si="14"/>
        <v>Com Contrato em vigor</v>
      </c>
      <c r="W126" s="34">
        <f t="shared" si="15"/>
        <v>4500000</v>
      </c>
      <c r="X126" s="34">
        <f t="shared" si="16"/>
        <v>9750000</v>
      </c>
    </row>
    <row r="127" spans="1:24">
      <c r="A127" t="s">
        <v>543</v>
      </c>
      <c r="B127" t="s">
        <v>542</v>
      </c>
      <c r="C127" t="s">
        <v>542</v>
      </c>
      <c r="D127" s="6" t="s">
        <v>305</v>
      </c>
      <c r="E127">
        <f t="shared" ca="1" si="9"/>
        <v>25</v>
      </c>
      <c r="F127" s="20">
        <v>37035</v>
      </c>
      <c r="G127" s="20">
        <v>44927</v>
      </c>
      <c r="H127" s="20">
        <v>46022</v>
      </c>
      <c r="I127" s="17">
        <v>450000</v>
      </c>
      <c r="J127" t="s">
        <v>411</v>
      </c>
      <c r="K127" s="6" t="s">
        <v>495</v>
      </c>
      <c r="L127">
        <v>0</v>
      </c>
      <c r="M127">
        <v>0</v>
      </c>
      <c r="N127" s="17">
        <v>4000000</v>
      </c>
      <c r="O127" s="24">
        <f t="shared" si="10"/>
        <v>14000000</v>
      </c>
      <c r="P127" t="s">
        <v>493</v>
      </c>
      <c r="Q127">
        <f t="shared" ca="1" si="11"/>
        <v>120000</v>
      </c>
      <c r="R127" t="s">
        <v>506</v>
      </c>
      <c r="S127">
        <v>1.93</v>
      </c>
      <c r="T127" s="20">
        <f t="shared" ca="1" si="12"/>
        <v>46296</v>
      </c>
      <c r="U127">
        <f t="shared" ca="1" si="17"/>
        <v>-274</v>
      </c>
      <c r="V127" t="str">
        <f t="shared" ca="1" si="14"/>
        <v>Pre contrato</v>
      </c>
      <c r="W127" s="34">
        <f t="shared" si="15"/>
        <v>2700000</v>
      </c>
      <c r="X127" s="34">
        <f t="shared" si="16"/>
        <v>5850000</v>
      </c>
    </row>
    <row r="128" spans="1:24">
      <c r="A128" t="s">
        <v>544</v>
      </c>
      <c r="B128" t="s">
        <v>542</v>
      </c>
      <c r="C128" t="s">
        <v>542</v>
      </c>
      <c r="D128" s="6" t="s">
        <v>305</v>
      </c>
      <c r="E128">
        <f t="shared" ca="1" si="9"/>
        <v>22</v>
      </c>
      <c r="F128" s="20">
        <v>37995</v>
      </c>
      <c r="G128" s="20">
        <v>44950</v>
      </c>
      <c r="H128" s="20">
        <v>46022</v>
      </c>
      <c r="I128" s="17">
        <v>200000</v>
      </c>
      <c r="J128" t="s">
        <v>357</v>
      </c>
      <c r="K128" s="6" t="s">
        <v>495</v>
      </c>
      <c r="L128">
        <v>0</v>
      </c>
      <c r="M128">
        <v>0</v>
      </c>
      <c r="N128" s="17">
        <v>1500000</v>
      </c>
      <c r="O128" s="24">
        <f t="shared" si="10"/>
        <v>5250000</v>
      </c>
      <c r="P128" t="s">
        <v>493</v>
      </c>
      <c r="Q128">
        <f t="shared" ca="1" si="11"/>
        <v>160000</v>
      </c>
      <c r="R128" t="s">
        <v>506</v>
      </c>
      <c r="S128">
        <v>1.8</v>
      </c>
      <c r="T128" s="20">
        <f t="shared" ca="1" si="12"/>
        <v>46296</v>
      </c>
      <c r="U128">
        <f t="shared" ca="1" si="17"/>
        <v>-274</v>
      </c>
      <c r="V128" t="str">
        <f t="shared" ca="1" si="14"/>
        <v>Pre contrato</v>
      </c>
      <c r="W128" s="34">
        <f t="shared" si="15"/>
        <v>1200000</v>
      </c>
      <c r="X128" s="34">
        <f t="shared" si="16"/>
        <v>2600000</v>
      </c>
    </row>
    <row r="129" spans="1:24">
      <c r="A129" t="s">
        <v>545</v>
      </c>
      <c r="B129" t="s">
        <v>542</v>
      </c>
      <c r="C129" t="s">
        <v>542</v>
      </c>
      <c r="D129" s="6" t="s">
        <v>305</v>
      </c>
      <c r="E129">
        <f t="shared" ca="1" si="9"/>
        <v>30</v>
      </c>
      <c r="F129" s="20">
        <v>35067</v>
      </c>
      <c r="G129" s="20">
        <v>45357</v>
      </c>
      <c r="H129" s="20">
        <v>47118</v>
      </c>
      <c r="I129" s="17">
        <v>900000</v>
      </c>
      <c r="J129" t="s">
        <v>379</v>
      </c>
      <c r="K129" s="6" t="s">
        <v>492</v>
      </c>
      <c r="L129">
        <v>0</v>
      </c>
      <c r="M129">
        <v>0</v>
      </c>
      <c r="N129" s="17">
        <v>26000000</v>
      </c>
      <c r="O129" s="24">
        <f t="shared" si="10"/>
        <v>91000000</v>
      </c>
      <c r="P129" t="s">
        <v>493</v>
      </c>
      <c r="Q129">
        <f t="shared" ca="1" si="11"/>
        <v>120000</v>
      </c>
      <c r="R129" t="s">
        <v>505</v>
      </c>
      <c r="S129">
        <v>1.85</v>
      </c>
      <c r="T129" s="20">
        <f t="shared" ca="1" si="12"/>
        <v>46296</v>
      </c>
      <c r="U129">
        <f ca="1">_xlfn.DAYS(H128,T128)</f>
        <v>-274</v>
      </c>
      <c r="V129" t="str">
        <f t="shared" ca="1" si="14"/>
        <v>Pre contrato</v>
      </c>
      <c r="W129" s="34">
        <f t="shared" si="15"/>
        <v>5400000</v>
      </c>
      <c r="X129" s="34">
        <f t="shared" si="16"/>
        <v>11700000</v>
      </c>
    </row>
    <row r="130" spans="1:24">
      <c r="A130" t="s">
        <v>546</v>
      </c>
      <c r="B130" t="s">
        <v>542</v>
      </c>
      <c r="C130" t="s">
        <v>542</v>
      </c>
      <c r="D130" s="6" t="s">
        <v>305</v>
      </c>
      <c r="E130">
        <f t="shared" ref="E130:E193" ca="1" si="18">DATEDIF(F130,TODAY(),"Y")</f>
        <v>30</v>
      </c>
      <c r="F130" s="20">
        <v>35095</v>
      </c>
      <c r="G130" s="20">
        <v>43861</v>
      </c>
      <c r="H130" s="20">
        <v>46752</v>
      </c>
      <c r="I130" s="17">
        <v>600000</v>
      </c>
      <c r="J130" t="s">
        <v>355</v>
      </c>
      <c r="K130" s="6" t="s">
        <v>492</v>
      </c>
      <c r="L130">
        <v>0</v>
      </c>
      <c r="M130">
        <v>0</v>
      </c>
      <c r="N130" s="17">
        <v>15000000</v>
      </c>
      <c r="O130" s="24">
        <f t="shared" ref="O130:O193" si="19">N130*3.5</f>
        <v>52500000</v>
      </c>
      <c r="P130" t="s">
        <v>493</v>
      </c>
      <c r="Q130">
        <f t="shared" ref="Q130:Q193" ca="1" si="20">IF(E130&gt;30,100000,IF(E130&gt;24,120000,IF(E130&gt;16,160000)))</f>
        <v>120000</v>
      </c>
      <c r="R130" t="s">
        <v>506</v>
      </c>
      <c r="S130">
        <v>1.89</v>
      </c>
      <c r="T130" s="20">
        <f t="shared" ref="T130:T193" ca="1" si="21">TODAY()</f>
        <v>46296</v>
      </c>
      <c r="U130">
        <f ca="1">_xlfn.DAYS(H130,T130)</f>
        <v>456</v>
      </c>
      <c r="V130" t="str">
        <f t="shared" ref="V130:V193" ca="1" si="22">IF(U130&lt;180, "Pre contrato","Com Contrato em vigor")</f>
        <v>Com Contrato em vigor</v>
      </c>
      <c r="W130" s="34">
        <f t="shared" si="15"/>
        <v>3600000</v>
      </c>
      <c r="X130" s="34">
        <f t="shared" si="16"/>
        <v>7800000</v>
      </c>
    </row>
    <row r="131" spans="1:24">
      <c r="A131" t="s">
        <v>547</v>
      </c>
      <c r="B131" t="s">
        <v>542</v>
      </c>
      <c r="C131" t="s">
        <v>542</v>
      </c>
      <c r="D131" s="6" t="s">
        <v>305</v>
      </c>
      <c r="E131">
        <f t="shared" ca="1" si="18"/>
        <v>30</v>
      </c>
      <c r="F131" s="20">
        <v>35107</v>
      </c>
      <c r="G131" s="20">
        <v>44601</v>
      </c>
      <c r="H131" s="20">
        <v>47118</v>
      </c>
      <c r="I131" s="17">
        <v>670000</v>
      </c>
      <c r="J131" t="s">
        <v>348</v>
      </c>
      <c r="K131" s="6" t="s">
        <v>492</v>
      </c>
      <c r="L131">
        <v>0</v>
      </c>
      <c r="M131">
        <v>0</v>
      </c>
      <c r="N131" s="17">
        <v>18000000</v>
      </c>
      <c r="O131" s="24">
        <f t="shared" si="19"/>
        <v>63000000</v>
      </c>
      <c r="P131" t="s">
        <v>493</v>
      </c>
      <c r="Q131">
        <f t="shared" ca="1" si="20"/>
        <v>120000</v>
      </c>
      <c r="R131" t="s">
        <v>503</v>
      </c>
      <c r="S131">
        <v>1.92</v>
      </c>
      <c r="T131" s="20">
        <f t="shared" ca="1" si="21"/>
        <v>46296</v>
      </c>
      <c r="U131">
        <f ca="1">_xlfn.DAYS(H131,T131)</f>
        <v>822</v>
      </c>
      <c r="V131" t="str">
        <f t="shared" ca="1" si="22"/>
        <v>Com Contrato em vigor</v>
      </c>
      <c r="W131" s="34">
        <f t="shared" ref="W131:W194" si="23">I131*6</f>
        <v>4020000</v>
      </c>
      <c r="X131" s="34">
        <f t="shared" ref="X131:X194" si="24">I131*13</f>
        <v>8710000</v>
      </c>
    </row>
    <row r="132" spans="1:24">
      <c r="A132" t="s">
        <v>548</v>
      </c>
      <c r="B132" t="s">
        <v>542</v>
      </c>
      <c r="C132" t="s">
        <v>542</v>
      </c>
      <c r="D132" s="6" t="s">
        <v>305</v>
      </c>
      <c r="E132">
        <f t="shared" ca="1" si="18"/>
        <v>39</v>
      </c>
      <c r="F132" s="20">
        <v>31889</v>
      </c>
      <c r="G132" s="20">
        <v>44601</v>
      </c>
      <c r="H132" s="20">
        <v>47118</v>
      </c>
      <c r="I132" s="17">
        <v>600000</v>
      </c>
      <c r="J132" t="s">
        <v>400</v>
      </c>
      <c r="K132" s="6" t="s">
        <v>492</v>
      </c>
      <c r="L132">
        <v>1</v>
      </c>
      <c r="M132">
        <v>14</v>
      </c>
      <c r="N132" s="17">
        <v>3000000</v>
      </c>
      <c r="O132" s="24">
        <f t="shared" si="19"/>
        <v>10500000</v>
      </c>
      <c r="P132" t="s">
        <v>493</v>
      </c>
      <c r="Q132">
        <f t="shared" ca="1" si="20"/>
        <v>100000</v>
      </c>
      <c r="R132" t="s">
        <v>503</v>
      </c>
      <c r="S132">
        <v>1.89</v>
      </c>
      <c r="T132" s="20">
        <f t="shared" ca="1" si="21"/>
        <v>46296</v>
      </c>
      <c r="U132">
        <f ca="1">_xlfn.DAYS(H132,T132)</f>
        <v>822</v>
      </c>
      <c r="V132" t="str">
        <f t="shared" ca="1" si="22"/>
        <v>Com Contrato em vigor</v>
      </c>
      <c r="W132" s="34">
        <f t="shared" si="23"/>
        <v>3600000</v>
      </c>
      <c r="X132" s="34">
        <f t="shared" si="24"/>
        <v>7800000</v>
      </c>
    </row>
    <row r="133" spans="1:24">
      <c r="A133" t="s">
        <v>549</v>
      </c>
      <c r="B133" t="s">
        <v>542</v>
      </c>
      <c r="C133" t="s">
        <v>542</v>
      </c>
      <c r="D133" s="6" t="s">
        <v>305</v>
      </c>
      <c r="E133">
        <f t="shared" ca="1" si="18"/>
        <v>29</v>
      </c>
      <c r="F133" s="20">
        <v>35600</v>
      </c>
      <c r="G133" s="20">
        <v>44927</v>
      </c>
      <c r="H133" s="20">
        <v>46752</v>
      </c>
      <c r="I133" s="17">
        <v>500000</v>
      </c>
      <c r="J133" s="23" t="s">
        <v>401</v>
      </c>
      <c r="K133" s="6" t="s">
        <v>496</v>
      </c>
      <c r="L133">
        <v>0</v>
      </c>
      <c r="M133">
        <v>0</v>
      </c>
      <c r="N133" s="17">
        <v>10000000</v>
      </c>
      <c r="O133" s="24">
        <f t="shared" si="19"/>
        <v>35000000</v>
      </c>
      <c r="P133" t="s">
        <v>497</v>
      </c>
      <c r="Q133">
        <f t="shared" ca="1" si="20"/>
        <v>120000</v>
      </c>
      <c r="R133" t="s">
        <v>503</v>
      </c>
      <c r="S133">
        <v>1.8</v>
      </c>
      <c r="T133" s="20">
        <f t="shared" ca="1" si="21"/>
        <v>46296</v>
      </c>
      <c r="U133">
        <f ca="1">_xlfn.DAYS(H132,T132)</f>
        <v>822</v>
      </c>
      <c r="V133" t="str">
        <f t="shared" ca="1" si="22"/>
        <v>Com Contrato em vigor</v>
      </c>
      <c r="W133" s="34">
        <f t="shared" si="23"/>
        <v>3000000</v>
      </c>
      <c r="X133" s="34">
        <f t="shared" si="24"/>
        <v>6500000</v>
      </c>
    </row>
    <row r="134" spans="1:24">
      <c r="A134" t="s">
        <v>550</v>
      </c>
      <c r="B134" t="s">
        <v>542</v>
      </c>
      <c r="C134" t="s">
        <v>542</v>
      </c>
      <c r="D134" s="6" t="s">
        <v>319</v>
      </c>
      <c r="E134">
        <f t="shared" ca="1" si="18"/>
        <v>28</v>
      </c>
      <c r="F134" s="20">
        <v>35743</v>
      </c>
      <c r="G134" s="20">
        <v>45316</v>
      </c>
      <c r="H134" s="20">
        <v>47118</v>
      </c>
      <c r="I134" s="17">
        <v>650000</v>
      </c>
      <c r="J134" t="s">
        <v>348</v>
      </c>
      <c r="K134" s="6" t="s">
        <v>496</v>
      </c>
      <c r="L134">
        <v>2</v>
      </c>
      <c r="M134">
        <v>87</v>
      </c>
      <c r="N134" s="17">
        <v>14000000</v>
      </c>
      <c r="O134" s="24">
        <f t="shared" si="19"/>
        <v>49000000</v>
      </c>
      <c r="P134" t="s">
        <v>497</v>
      </c>
      <c r="Q134">
        <f t="shared" ca="1" si="20"/>
        <v>120000</v>
      </c>
      <c r="R134" t="s">
        <v>503</v>
      </c>
      <c r="S134">
        <v>1.75</v>
      </c>
      <c r="T134" s="20">
        <f t="shared" ca="1" si="21"/>
        <v>46296</v>
      </c>
      <c r="U134">
        <f ca="1">_xlfn.DAYS(H134,T134)</f>
        <v>822</v>
      </c>
      <c r="V134" t="str">
        <f t="shared" ca="1" si="22"/>
        <v>Com Contrato em vigor</v>
      </c>
      <c r="W134" s="34">
        <f t="shared" si="23"/>
        <v>3900000</v>
      </c>
      <c r="X134" s="34">
        <f t="shared" si="24"/>
        <v>8450000</v>
      </c>
    </row>
    <row r="135" spans="1:24">
      <c r="A135" t="s">
        <v>551</v>
      </c>
      <c r="B135" t="s">
        <v>542</v>
      </c>
      <c r="C135" t="s">
        <v>542</v>
      </c>
      <c r="D135" s="6" t="s">
        <v>305</v>
      </c>
      <c r="E135">
        <f t="shared" ca="1" si="18"/>
        <v>35</v>
      </c>
      <c r="F135" s="20">
        <v>33264</v>
      </c>
      <c r="G135" s="20">
        <v>45530</v>
      </c>
      <c r="H135" s="20">
        <v>46387</v>
      </c>
      <c r="I135" s="17">
        <v>1500000</v>
      </c>
      <c r="J135" t="s">
        <v>348</v>
      </c>
      <c r="K135" s="6" t="s">
        <v>496</v>
      </c>
      <c r="L135">
        <v>0</v>
      </c>
      <c r="M135">
        <v>0</v>
      </c>
      <c r="N135" s="17">
        <v>10000000</v>
      </c>
      <c r="O135" s="24">
        <f t="shared" si="19"/>
        <v>35000000</v>
      </c>
      <c r="P135" t="s">
        <v>497</v>
      </c>
      <c r="Q135">
        <f t="shared" ca="1" si="20"/>
        <v>100000</v>
      </c>
      <c r="R135" t="s">
        <v>505</v>
      </c>
      <c r="S135">
        <v>1.8</v>
      </c>
      <c r="T135" s="20">
        <f t="shared" ca="1" si="21"/>
        <v>46296</v>
      </c>
      <c r="U135">
        <f ca="1">_xlfn.DAYS(H135,T135)</f>
        <v>91</v>
      </c>
      <c r="V135" t="str">
        <f t="shared" ca="1" si="22"/>
        <v>Pre contrato</v>
      </c>
      <c r="W135" s="34">
        <f t="shared" si="23"/>
        <v>9000000</v>
      </c>
      <c r="X135" s="34">
        <f t="shared" si="24"/>
        <v>19500000</v>
      </c>
    </row>
    <row r="136" spans="1:24">
      <c r="A136" t="s">
        <v>552</v>
      </c>
      <c r="B136" t="s">
        <v>542</v>
      </c>
      <c r="C136" t="s">
        <v>542</v>
      </c>
      <c r="D136" s="6" t="s">
        <v>319</v>
      </c>
      <c r="E136">
        <f t="shared" ca="1" si="18"/>
        <v>33</v>
      </c>
      <c r="F136" s="20">
        <v>34052</v>
      </c>
      <c r="G136" s="20">
        <v>44938</v>
      </c>
      <c r="H136" s="20">
        <v>46022</v>
      </c>
      <c r="I136" s="17">
        <v>600000</v>
      </c>
      <c r="J136" t="s">
        <v>553</v>
      </c>
      <c r="K136" s="6" t="s">
        <v>498</v>
      </c>
      <c r="L136">
        <v>0</v>
      </c>
      <c r="M136">
        <v>0</v>
      </c>
      <c r="N136" s="17">
        <v>16000000</v>
      </c>
      <c r="O136" s="24">
        <f t="shared" si="19"/>
        <v>56000000</v>
      </c>
      <c r="P136" t="s">
        <v>493</v>
      </c>
      <c r="Q136">
        <f t="shared" ca="1" si="20"/>
        <v>100000</v>
      </c>
      <c r="R136" t="s">
        <v>506</v>
      </c>
      <c r="S136">
        <v>1.73</v>
      </c>
      <c r="T136" s="20">
        <f t="shared" ca="1" si="21"/>
        <v>46296</v>
      </c>
      <c r="U136">
        <f ca="1">_xlfn.DAYS(H136,T136)</f>
        <v>-274</v>
      </c>
      <c r="V136" t="str">
        <f t="shared" ca="1" si="22"/>
        <v>Pre contrato</v>
      </c>
      <c r="W136" s="34">
        <f t="shared" si="23"/>
        <v>3600000</v>
      </c>
      <c r="X136" s="34">
        <f t="shared" si="24"/>
        <v>7800000</v>
      </c>
    </row>
    <row r="137" spans="1:24">
      <c r="A137" t="s">
        <v>554</v>
      </c>
      <c r="B137" t="s">
        <v>542</v>
      </c>
      <c r="C137" t="s">
        <v>542</v>
      </c>
      <c r="D137" s="6" t="s">
        <v>305</v>
      </c>
      <c r="E137">
        <f t="shared" ca="1" si="18"/>
        <v>23</v>
      </c>
      <c r="F137" s="20">
        <v>37870</v>
      </c>
      <c r="G137" s="20">
        <v>44927</v>
      </c>
      <c r="H137" s="20">
        <v>47118</v>
      </c>
      <c r="I137" s="17">
        <v>400000</v>
      </c>
      <c r="J137" t="s">
        <v>555</v>
      </c>
      <c r="K137" s="6" t="s">
        <v>498</v>
      </c>
      <c r="L137">
        <v>0</v>
      </c>
      <c r="M137">
        <v>0</v>
      </c>
      <c r="N137" s="17">
        <v>25000000</v>
      </c>
      <c r="O137" s="24">
        <f t="shared" si="19"/>
        <v>87500000</v>
      </c>
      <c r="P137" t="s">
        <v>493</v>
      </c>
      <c r="Q137">
        <f t="shared" ca="1" si="20"/>
        <v>160000</v>
      </c>
      <c r="R137" t="s">
        <v>506</v>
      </c>
      <c r="S137">
        <v>1.78</v>
      </c>
      <c r="T137" s="20">
        <f t="shared" ca="1" si="21"/>
        <v>46296</v>
      </c>
      <c r="U137">
        <f ca="1">_xlfn.DAYS(H136,T136)</f>
        <v>-274</v>
      </c>
      <c r="V137" t="str">
        <f t="shared" ca="1" si="22"/>
        <v>Pre contrato</v>
      </c>
      <c r="W137" s="34">
        <f t="shared" si="23"/>
        <v>2400000</v>
      </c>
      <c r="X137" s="34">
        <f t="shared" si="24"/>
        <v>5200000</v>
      </c>
    </row>
    <row r="138" spans="1:24">
      <c r="A138" t="s">
        <v>556</v>
      </c>
      <c r="B138" t="s">
        <v>542</v>
      </c>
      <c r="C138" t="s">
        <v>542</v>
      </c>
      <c r="D138" s="6" t="s">
        <v>305</v>
      </c>
      <c r="E138">
        <f t="shared" ca="1" si="18"/>
        <v>29</v>
      </c>
      <c r="F138" s="20">
        <v>35492</v>
      </c>
      <c r="G138" s="20">
        <v>45108</v>
      </c>
      <c r="H138" s="20">
        <v>46752</v>
      </c>
      <c r="I138" s="17">
        <v>560000</v>
      </c>
      <c r="J138" t="s">
        <v>400</v>
      </c>
      <c r="K138" s="6" t="s">
        <v>494</v>
      </c>
      <c r="L138">
        <v>1</v>
      </c>
      <c r="M138">
        <v>60</v>
      </c>
      <c r="N138" s="17">
        <v>7500000</v>
      </c>
      <c r="O138" s="24">
        <f t="shared" si="19"/>
        <v>26250000</v>
      </c>
      <c r="P138" t="s">
        <v>493</v>
      </c>
      <c r="Q138">
        <f t="shared" ca="1" si="20"/>
        <v>120000</v>
      </c>
      <c r="R138" t="s">
        <v>506</v>
      </c>
      <c r="S138">
        <v>1.72</v>
      </c>
      <c r="T138" s="20">
        <f t="shared" ca="1" si="21"/>
        <v>46296</v>
      </c>
      <c r="U138">
        <f ca="1">_xlfn.DAYS(H138,T138)</f>
        <v>456</v>
      </c>
      <c r="V138" t="str">
        <f t="shared" ca="1" si="22"/>
        <v>Com Contrato em vigor</v>
      </c>
      <c r="W138" s="34">
        <f t="shared" si="23"/>
        <v>3360000</v>
      </c>
      <c r="X138" s="34">
        <f t="shared" si="24"/>
        <v>7280000</v>
      </c>
    </row>
    <row r="139" spans="1:24">
      <c r="A139" t="s">
        <v>557</v>
      </c>
      <c r="B139" t="s">
        <v>542</v>
      </c>
      <c r="C139" t="s">
        <v>542</v>
      </c>
      <c r="D139" s="6" t="s">
        <v>322</v>
      </c>
      <c r="E139">
        <f t="shared" ca="1" si="18"/>
        <v>32</v>
      </c>
      <c r="F139" s="20">
        <v>34349</v>
      </c>
      <c r="G139" s="20">
        <v>44771</v>
      </c>
      <c r="H139" s="20">
        <v>46022</v>
      </c>
      <c r="I139" s="17">
        <v>550000</v>
      </c>
      <c r="J139" t="s">
        <v>404</v>
      </c>
      <c r="K139" s="6" t="s">
        <v>494</v>
      </c>
      <c r="L139">
        <v>0</v>
      </c>
      <c r="M139">
        <v>0</v>
      </c>
      <c r="N139" s="17">
        <v>17000000</v>
      </c>
      <c r="O139" s="24">
        <f t="shared" si="19"/>
        <v>59500000</v>
      </c>
      <c r="P139" t="s">
        <v>493</v>
      </c>
      <c r="Q139">
        <f t="shared" ca="1" si="20"/>
        <v>100000</v>
      </c>
      <c r="R139" t="s">
        <v>506</v>
      </c>
      <c r="S139">
        <v>1.87</v>
      </c>
      <c r="T139" s="20">
        <f t="shared" ca="1" si="21"/>
        <v>46296</v>
      </c>
      <c r="U139">
        <f ca="1">_xlfn.DAYS(H139,T139)</f>
        <v>-274</v>
      </c>
      <c r="V139" t="str">
        <f t="shared" ca="1" si="22"/>
        <v>Pre contrato</v>
      </c>
      <c r="W139" s="34">
        <f t="shared" si="23"/>
        <v>3300000</v>
      </c>
      <c r="X139" s="34">
        <f t="shared" si="24"/>
        <v>7150000</v>
      </c>
    </row>
    <row r="140" spans="1:24">
      <c r="A140" t="s">
        <v>558</v>
      </c>
      <c r="B140" t="s">
        <v>542</v>
      </c>
      <c r="C140" t="s">
        <v>542</v>
      </c>
      <c r="D140" s="6" t="s">
        <v>305</v>
      </c>
      <c r="E140">
        <f t="shared" ca="1" si="18"/>
        <v>29</v>
      </c>
      <c r="F140" s="20">
        <v>35570</v>
      </c>
      <c r="G140" s="20">
        <v>44927</v>
      </c>
      <c r="H140" s="20">
        <v>46752</v>
      </c>
      <c r="I140" s="17">
        <v>1200000</v>
      </c>
      <c r="J140" t="s">
        <v>401</v>
      </c>
      <c r="K140" s="6" t="s">
        <v>499</v>
      </c>
      <c r="L140">
        <v>0</v>
      </c>
      <c r="M140">
        <v>0</v>
      </c>
      <c r="N140" s="17">
        <v>24000000</v>
      </c>
      <c r="O140" s="24">
        <f t="shared" si="19"/>
        <v>84000000</v>
      </c>
      <c r="P140" t="s">
        <v>497</v>
      </c>
      <c r="Q140">
        <f t="shared" ca="1" si="20"/>
        <v>120000</v>
      </c>
      <c r="R140" t="s">
        <v>506</v>
      </c>
      <c r="S140">
        <v>1.84</v>
      </c>
      <c r="T140" s="20">
        <f t="shared" ca="1" si="21"/>
        <v>46296</v>
      </c>
      <c r="U140">
        <f ca="1">_xlfn.DAYS(H140,T140)</f>
        <v>456</v>
      </c>
      <c r="V140" t="str">
        <f t="shared" ca="1" si="22"/>
        <v>Com Contrato em vigor</v>
      </c>
      <c r="W140" s="34">
        <f t="shared" si="23"/>
        <v>7200000</v>
      </c>
      <c r="X140" s="34">
        <f t="shared" si="24"/>
        <v>15600000</v>
      </c>
    </row>
    <row r="141" spans="1:24">
      <c r="A141" t="s">
        <v>559</v>
      </c>
      <c r="B141" t="s">
        <v>542</v>
      </c>
      <c r="C141" t="s">
        <v>542</v>
      </c>
      <c r="D141" s="6" t="s">
        <v>319</v>
      </c>
      <c r="E141">
        <f t="shared" ca="1" si="18"/>
        <v>29</v>
      </c>
      <c r="F141" s="20">
        <v>35582</v>
      </c>
      <c r="G141" s="20">
        <v>45292</v>
      </c>
      <c r="H141" s="20">
        <v>46934</v>
      </c>
      <c r="I141" s="17">
        <v>1200000</v>
      </c>
      <c r="J141" t="s">
        <v>560</v>
      </c>
      <c r="K141" s="6" t="s">
        <v>499</v>
      </c>
      <c r="L141">
        <v>2</v>
      </c>
      <c r="M141">
        <v>21</v>
      </c>
      <c r="N141" s="17">
        <v>22000000</v>
      </c>
      <c r="O141" s="24">
        <f t="shared" si="19"/>
        <v>77000000</v>
      </c>
      <c r="P141" t="s">
        <v>497</v>
      </c>
      <c r="Q141">
        <f t="shared" ca="1" si="20"/>
        <v>120000</v>
      </c>
      <c r="R141" t="s">
        <v>506</v>
      </c>
      <c r="S141">
        <v>1.67</v>
      </c>
      <c r="T141" s="20">
        <f t="shared" ca="1" si="21"/>
        <v>46296</v>
      </c>
      <c r="U141">
        <f ca="1">_xlfn.DAYS(H140,T140)</f>
        <v>456</v>
      </c>
      <c r="V141" t="str">
        <f t="shared" ca="1" si="22"/>
        <v>Com Contrato em vigor</v>
      </c>
      <c r="W141" s="34">
        <f t="shared" si="23"/>
        <v>7200000</v>
      </c>
      <c r="X141" s="34">
        <f t="shared" si="24"/>
        <v>15600000</v>
      </c>
    </row>
    <row r="142" spans="1:24">
      <c r="A142" t="s">
        <v>561</v>
      </c>
      <c r="B142" t="s">
        <v>542</v>
      </c>
      <c r="C142" t="s">
        <v>542</v>
      </c>
      <c r="D142" s="6" t="s">
        <v>342</v>
      </c>
      <c r="E142">
        <f t="shared" ca="1" si="18"/>
        <v>23</v>
      </c>
      <c r="F142" s="20">
        <v>37590</v>
      </c>
      <c r="G142" s="20">
        <v>45532</v>
      </c>
      <c r="H142" s="20">
        <v>47299</v>
      </c>
      <c r="I142" s="17">
        <v>1000000</v>
      </c>
      <c r="J142" t="s">
        <v>562</v>
      </c>
      <c r="K142" s="6" t="s">
        <v>499</v>
      </c>
      <c r="L142">
        <v>1</v>
      </c>
      <c r="M142">
        <v>10</v>
      </c>
      <c r="N142" s="17">
        <v>30000000</v>
      </c>
      <c r="O142" s="24">
        <f t="shared" si="19"/>
        <v>105000000</v>
      </c>
      <c r="P142" t="s">
        <v>493</v>
      </c>
      <c r="Q142">
        <f t="shared" ca="1" si="20"/>
        <v>160000</v>
      </c>
      <c r="R142" t="s">
        <v>506</v>
      </c>
      <c r="S142">
        <v>1.83</v>
      </c>
      <c r="T142" s="20">
        <f t="shared" ca="1" si="21"/>
        <v>46296</v>
      </c>
      <c r="U142">
        <f ca="1">_xlfn.DAYS(H142,T142)</f>
        <v>1003</v>
      </c>
      <c r="V142" t="str">
        <f t="shared" ca="1" si="22"/>
        <v>Com Contrato em vigor</v>
      </c>
      <c r="W142" s="34">
        <f t="shared" si="23"/>
        <v>6000000</v>
      </c>
      <c r="X142" s="34">
        <f t="shared" si="24"/>
        <v>13000000</v>
      </c>
    </row>
    <row r="143" spans="1:24">
      <c r="A143" t="s">
        <v>563</v>
      </c>
      <c r="B143" t="s">
        <v>542</v>
      </c>
      <c r="C143" t="s">
        <v>542</v>
      </c>
      <c r="D143" s="6" t="s">
        <v>319</v>
      </c>
      <c r="E143">
        <f t="shared" ca="1" si="18"/>
        <v>32</v>
      </c>
      <c r="F143" s="20">
        <v>34486</v>
      </c>
      <c r="G143" s="20">
        <v>43477</v>
      </c>
      <c r="H143" s="20">
        <v>46387</v>
      </c>
      <c r="I143" s="17">
        <v>1600000</v>
      </c>
      <c r="J143" t="s">
        <v>564</v>
      </c>
      <c r="K143" s="6" t="s">
        <v>499</v>
      </c>
      <c r="L143">
        <v>1</v>
      </c>
      <c r="M143">
        <v>50</v>
      </c>
      <c r="N143" s="17">
        <v>13000000</v>
      </c>
      <c r="O143" s="24">
        <f t="shared" si="19"/>
        <v>45500000</v>
      </c>
      <c r="P143" t="s">
        <v>493</v>
      </c>
      <c r="Q143">
        <f t="shared" ca="1" si="20"/>
        <v>100000</v>
      </c>
      <c r="R143" t="s">
        <v>506</v>
      </c>
      <c r="S143">
        <v>1.74</v>
      </c>
      <c r="T143" s="20">
        <f t="shared" ca="1" si="21"/>
        <v>46296</v>
      </c>
      <c r="U143">
        <f ca="1">_xlfn.DAYS(H143,T143)</f>
        <v>91</v>
      </c>
      <c r="V143" t="str">
        <f t="shared" ca="1" si="22"/>
        <v>Pre contrato</v>
      </c>
      <c r="W143" s="34">
        <f t="shared" si="23"/>
        <v>9600000</v>
      </c>
      <c r="X143" s="34">
        <f t="shared" si="24"/>
        <v>20800000</v>
      </c>
    </row>
    <row r="144" spans="1:24">
      <c r="A144" t="s">
        <v>565</v>
      </c>
      <c r="B144" t="s">
        <v>542</v>
      </c>
      <c r="C144" t="s">
        <v>542</v>
      </c>
      <c r="D144" s="6" t="s">
        <v>305</v>
      </c>
      <c r="E144">
        <f t="shared" ca="1" si="18"/>
        <v>20</v>
      </c>
      <c r="F144" s="20">
        <v>38902</v>
      </c>
      <c r="G144" s="20">
        <v>45292</v>
      </c>
      <c r="H144" s="20">
        <v>47483</v>
      </c>
      <c r="I144" s="17">
        <v>150000</v>
      </c>
      <c r="J144" t="s">
        <v>352</v>
      </c>
      <c r="K144" s="6" t="s">
        <v>499</v>
      </c>
      <c r="L144">
        <v>0</v>
      </c>
      <c r="M144">
        <v>0</v>
      </c>
      <c r="N144" s="17">
        <v>14000000</v>
      </c>
      <c r="O144" s="24">
        <f t="shared" si="19"/>
        <v>49000000</v>
      </c>
      <c r="P144" t="s">
        <v>493</v>
      </c>
      <c r="Q144">
        <f t="shared" ca="1" si="20"/>
        <v>160000</v>
      </c>
      <c r="R144" t="s">
        <v>506</v>
      </c>
      <c r="S144">
        <v>1.8</v>
      </c>
      <c r="T144" s="20">
        <f t="shared" ca="1" si="21"/>
        <v>46296</v>
      </c>
      <c r="U144">
        <f ca="1">_xlfn.DAYS(H144,T144)</f>
        <v>1187</v>
      </c>
      <c r="V144" t="str">
        <f t="shared" ca="1" si="22"/>
        <v>Com Contrato em vigor</v>
      </c>
      <c r="W144" s="34">
        <f t="shared" si="23"/>
        <v>900000</v>
      </c>
      <c r="X144" s="34">
        <f t="shared" si="24"/>
        <v>1950000</v>
      </c>
    </row>
    <row r="145" spans="1:24">
      <c r="A145" t="s">
        <v>566</v>
      </c>
      <c r="B145" t="s">
        <v>542</v>
      </c>
      <c r="C145" t="s">
        <v>542</v>
      </c>
      <c r="D145" s="6" t="s">
        <v>305</v>
      </c>
      <c r="E145">
        <f t="shared" ca="1" si="18"/>
        <v>30</v>
      </c>
      <c r="F145" s="20">
        <v>35146</v>
      </c>
      <c r="G145" s="20">
        <v>44760</v>
      </c>
      <c r="H145" s="20">
        <v>46203</v>
      </c>
      <c r="I145" s="17">
        <v>1500000</v>
      </c>
      <c r="J145" t="s">
        <v>400</v>
      </c>
      <c r="K145" s="6" t="s">
        <v>500</v>
      </c>
      <c r="L145">
        <v>1</v>
      </c>
      <c r="M145">
        <v>45</v>
      </c>
      <c r="N145" s="17">
        <v>16000000</v>
      </c>
      <c r="O145" s="24">
        <f t="shared" si="19"/>
        <v>56000000</v>
      </c>
      <c r="P145" t="s">
        <v>493</v>
      </c>
      <c r="Q145">
        <f t="shared" ca="1" si="20"/>
        <v>120000</v>
      </c>
      <c r="R145" t="s">
        <v>506</v>
      </c>
      <c r="S145">
        <v>1.74</v>
      </c>
      <c r="T145" s="20">
        <f t="shared" ca="1" si="21"/>
        <v>46296</v>
      </c>
      <c r="U145">
        <f ca="1">_xlfn.DAYS(H144,T144)</f>
        <v>1187</v>
      </c>
      <c r="V145" t="str">
        <f t="shared" ca="1" si="22"/>
        <v>Com Contrato em vigor</v>
      </c>
      <c r="W145" s="34">
        <f t="shared" si="23"/>
        <v>9000000</v>
      </c>
      <c r="X145" s="34">
        <f t="shared" si="24"/>
        <v>19500000</v>
      </c>
    </row>
    <row r="146" spans="1:24">
      <c r="A146" t="s">
        <v>567</v>
      </c>
      <c r="B146" t="s">
        <v>542</v>
      </c>
      <c r="C146" t="s">
        <v>542</v>
      </c>
      <c r="D146" s="6" t="s">
        <v>305</v>
      </c>
      <c r="E146">
        <f t="shared" ca="1" si="18"/>
        <v>30</v>
      </c>
      <c r="F146" s="20">
        <v>35136</v>
      </c>
      <c r="G146" s="20">
        <v>45526</v>
      </c>
      <c r="H146" s="20">
        <v>47118</v>
      </c>
      <c r="I146" s="17">
        <v>1600000</v>
      </c>
      <c r="J146" t="s">
        <v>475</v>
      </c>
      <c r="K146" s="6" t="s">
        <v>500</v>
      </c>
      <c r="L146">
        <v>0</v>
      </c>
      <c r="M146">
        <v>0</v>
      </c>
      <c r="N146" s="17">
        <v>18000000</v>
      </c>
      <c r="O146" s="24">
        <f t="shared" si="19"/>
        <v>63000000</v>
      </c>
      <c r="P146" t="s">
        <v>493</v>
      </c>
      <c r="Q146">
        <f t="shared" ca="1" si="20"/>
        <v>120000</v>
      </c>
      <c r="R146" t="s">
        <v>506</v>
      </c>
      <c r="S146">
        <v>1.66</v>
      </c>
      <c r="T146" s="20">
        <f t="shared" ca="1" si="21"/>
        <v>46296</v>
      </c>
      <c r="U146">
        <f ca="1">_xlfn.DAYS(H146,T146)</f>
        <v>822</v>
      </c>
      <c r="V146" t="str">
        <f t="shared" ca="1" si="22"/>
        <v>Com Contrato em vigor</v>
      </c>
      <c r="W146" s="34">
        <f t="shared" si="23"/>
        <v>9600000</v>
      </c>
      <c r="X146" s="34">
        <f t="shared" si="24"/>
        <v>20800000</v>
      </c>
    </row>
    <row r="147" spans="1:24">
      <c r="A147" t="s">
        <v>568</v>
      </c>
      <c r="B147" t="s">
        <v>542</v>
      </c>
      <c r="C147" t="s">
        <v>542</v>
      </c>
      <c r="D147" s="6" t="s">
        <v>305</v>
      </c>
      <c r="E147">
        <f t="shared" ca="1" si="18"/>
        <v>35</v>
      </c>
      <c r="F147" s="20">
        <v>33237</v>
      </c>
      <c r="G147" s="20">
        <v>43488</v>
      </c>
      <c r="H147" s="20">
        <v>46387</v>
      </c>
      <c r="I147" s="17">
        <v>2000000</v>
      </c>
      <c r="J147" t="s">
        <v>348</v>
      </c>
      <c r="K147" s="6" t="s">
        <v>500</v>
      </c>
      <c r="L147">
        <v>2</v>
      </c>
      <c r="M147">
        <v>34</v>
      </c>
      <c r="N147" s="17">
        <v>10000000</v>
      </c>
      <c r="O147" s="24">
        <f t="shared" si="19"/>
        <v>35000000</v>
      </c>
      <c r="P147" t="s">
        <v>493</v>
      </c>
      <c r="Q147">
        <f t="shared" ca="1" si="20"/>
        <v>100000</v>
      </c>
      <c r="R147" t="s">
        <v>506</v>
      </c>
      <c r="S147">
        <v>1.84</v>
      </c>
      <c r="T147" s="20">
        <f t="shared" ca="1" si="21"/>
        <v>46296</v>
      </c>
      <c r="U147">
        <f ca="1">_xlfn.DAYS(H147,T147)</f>
        <v>91</v>
      </c>
      <c r="V147" t="str">
        <f t="shared" ca="1" si="22"/>
        <v>Pre contrato</v>
      </c>
      <c r="W147" s="34">
        <f t="shared" si="23"/>
        <v>12000000</v>
      </c>
      <c r="X147" s="34">
        <f t="shared" si="24"/>
        <v>26000000</v>
      </c>
    </row>
    <row r="148" spans="1:24">
      <c r="A148" t="s">
        <v>569</v>
      </c>
      <c r="B148" t="s">
        <v>542</v>
      </c>
      <c r="C148" t="s">
        <v>542</v>
      </c>
      <c r="D148" s="6" t="s">
        <v>305</v>
      </c>
      <c r="E148">
        <f t="shared" ca="1" si="18"/>
        <v>30</v>
      </c>
      <c r="F148" s="20">
        <v>35218</v>
      </c>
      <c r="G148" s="20">
        <v>45108</v>
      </c>
      <c r="H148" s="20">
        <v>46752</v>
      </c>
      <c r="I148" s="17">
        <v>1300000</v>
      </c>
      <c r="J148" t="s">
        <v>432</v>
      </c>
      <c r="K148" s="6" t="s">
        <v>500</v>
      </c>
      <c r="L148">
        <v>1</v>
      </c>
      <c r="M148">
        <v>40</v>
      </c>
      <c r="N148" s="17">
        <v>12000000</v>
      </c>
      <c r="O148" s="24">
        <f t="shared" si="19"/>
        <v>42000000</v>
      </c>
      <c r="P148" t="s">
        <v>497</v>
      </c>
      <c r="Q148">
        <f t="shared" ca="1" si="20"/>
        <v>120000</v>
      </c>
      <c r="R148" t="s">
        <v>503</v>
      </c>
      <c r="S148">
        <v>1.75</v>
      </c>
      <c r="T148" s="20">
        <f t="shared" ca="1" si="21"/>
        <v>46296</v>
      </c>
      <c r="U148">
        <f ca="1">_xlfn.DAYS(H148,T148)</f>
        <v>456</v>
      </c>
      <c r="V148" t="str">
        <f t="shared" ca="1" si="22"/>
        <v>Com Contrato em vigor</v>
      </c>
      <c r="W148" s="34">
        <f t="shared" si="23"/>
        <v>7800000</v>
      </c>
      <c r="X148" s="34">
        <f t="shared" si="24"/>
        <v>16900000</v>
      </c>
    </row>
    <row r="149" spans="1:24">
      <c r="A149" t="s">
        <v>570</v>
      </c>
      <c r="B149" t="s">
        <v>542</v>
      </c>
      <c r="C149" t="s">
        <v>542</v>
      </c>
      <c r="D149" s="6" t="s">
        <v>309</v>
      </c>
      <c r="E149">
        <f t="shared" ca="1" si="18"/>
        <v>25</v>
      </c>
      <c r="F149" s="20">
        <v>36831</v>
      </c>
      <c r="G149" s="20">
        <v>45534</v>
      </c>
      <c r="H149" s="20">
        <v>47299</v>
      </c>
      <c r="I149" s="17">
        <v>450000</v>
      </c>
      <c r="J149" t="s">
        <v>571</v>
      </c>
      <c r="K149" s="6" t="s">
        <v>500</v>
      </c>
      <c r="L149">
        <v>0</v>
      </c>
      <c r="M149">
        <v>0</v>
      </c>
      <c r="N149" s="17">
        <v>7500000</v>
      </c>
      <c r="O149" s="24">
        <f t="shared" si="19"/>
        <v>26250000</v>
      </c>
      <c r="P149" t="s">
        <v>497</v>
      </c>
      <c r="Q149">
        <f t="shared" ca="1" si="20"/>
        <v>120000</v>
      </c>
      <c r="R149" t="s">
        <v>503</v>
      </c>
      <c r="S149">
        <v>1.78</v>
      </c>
      <c r="T149" s="20">
        <f t="shared" ca="1" si="21"/>
        <v>46296</v>
      </c>
      <c r="U149">
        <f ca="1">_xlfn.DAYS(H148,T148)</f>
        <v>456</v>
      </c>
      <c r="V149" t="str">
        <f t="shared" ca="1" si="22"/>
        <v>Com Contrato em vigor</v>
      </c>
      <c r="W149" s="34">
        <f t="shared" si="23"/>
        <v>2700000</v>
      </c>
      <c r="X149" s="34">
        <f t="shared" si="24"/>
        <v>5850000</v>
      </c>
    </row>
    <row r="150" spans="1:24">
      <c r="A150" t="s">
        <v>572</v>
      </c>
      <c r="B150" t="s">
        <v>542</v>
      </c>
      <c r="C150" t="s">
        <v>542</v>
      </c>
      <c r="D150" s="6" t="s">
        <v>305</v>
      </c>
      <c r="E150">
        <f t="shared" ca="1" si="18"/>
        <v>30</v>
      </c>
      <c r="F150" s="20">
        <v>35307</v>
      </c>
      <c r="G150" s="20">
        <v>45658</v>
      </c>
      <c r="H150" s="20">
        <v>47118</v>
      </c>
      <c r="I150" s="17">
        <v>1800000</v>
      </c>
      <c r="J150" t="s">
        <v>356</v>
      </c>
      <c r="K150" s="6" t="s">
        <v>500</v>
      </c>
      <c r="L150">
        <v>0</v>
      </c>
      <c r="M150">
        <v>0</v>
      </c>
      <c r="N150" s="17">
        <v>10000000</v>
      </c>
      <c r="O150" s="24">
        <f t="shared" si="19"/>
        <v>35000000</v>
      </c>
      <c r="P150" t="s">
        <v>497</v>
      </c>
      <c r="Q150">
        <f t="shared" ca="1" si="20"/>
        <v>120000</v>
      </c>
      <c r="R150" t="s">
        <v>507</v>
      </c>
      <c r="S150">
        <v>1.78</v>
      </c>
      <c r="T150" s="20">
        <f t="shared" ca="1" si="21"/>
        <v>46296</v>
      </c>
      <c r="U150">
        <f ca="1">_xlfn.DAYS(H150,T150)</f>
        <v>822</v>
      </c>
      <c r="V150" t="str">
        <f t="shared" ca="1" si="22"/>
        <v>Com Contrato em vigor</v>
      </c>
      <c r="W150" s="34">
        <f t="shared" si="23"/>
        <v>10800000</v>
      </c>
      <c r="X150" s="34">
        <f t="shared" si="24"/>
        <v>23400000</v>
      </c>
    </row>
    <row r="151" spans="1:24">
      <c r="A151" t="s">
        <v>573</v>
      </c>
      <c r="B151" t="s">
        <v>542</v>
      </c>
      <c r="C151" t="s">
        <v>542</v>
      </c>
      <c r="D151" s="6" t="s">
        <v>305</v>
      </c>
      <c r="E151">
        <f t="shared" ca="1" si="18"/>
        <v>29</v>
      </c>
      <c r="F151" s="20">
        <v>35601</v>
      </c>
      <c r="G151" s="20">
        <v>44197</v>
      </c>
      <c r="H151" s="20">
        <v>46752</v>
      </c>
      <c r="I151" s="17">
        <v>1350000</v>
      </c>
      <c r="J151" t="s">
        <v>400</v>
      </c>
      <c r="K151" s="6" t="s">
        <v>500</v>
      </c>
      <c r="L151">
        <v>1</v>
      </c>
      <c r="M151">
        <v>90</v>
      </c>
      <c r="N151" s="17">
        <v>15000000</v>
      </c>
      <c r="O151" s="24">
        <f t="shared" si="19"/>
        <v>52500000</v>
      </c>
      <c r="P151" t="s">
        <v>493</v>
      </c>
      <c r="Q151">
        <f t="shared" ca="1" si="20"/>
        <v>120000</v>
      </c>
      <c r="R151" t="s">
        <v>503</v>
      </c>
      <c r="S151">
        <v>1.85</v>
      </c>
      <c r="T151" s="20">
        <f t="shared" ca="1" si="21"/>
        <v>46296</v>
      </c>
      <c r="U151">
        <f ca="1">_xlfn.DAYS(H151,T151)</f>
        <v>456</v>
      </c>
      <c r="V151" t="str">
        <f t="shared" ca="1" si="22"/>
        <v>Com Contrato em vigor</v>
      </c>
      <c r="W151" s="34">
        <f t="shared" si="23"/>
        <v>8100000</v>
      </c>
      <c r="X151" s="34">
        <f t="shared" si="24"/>
        <v>17550000</v>
      </c>
    </row>
    <row r="152" spans="1:24">
      <c r="A152" t="s">
        <v>574</v>
      </c>
      <c r="B152" t="s">
        <v>542</v>
      </c>
      <c r="C152" t="s">
        <v>542</v>
      </c>
      <c r="D152" s="6" t="s">
        <v>305</v>
      </c>
      <c r="E152">
        <f t="shared" ca="1" si="18"/>
        <v>29</v>
      </c>
      <c r="F152" s="20">
        <v>35473</v>
      </c>
      <c r="G152" s="20">
        <v>45390</v>
      </c>
      <c r="H152" s="20">
        <v>46387</v>
      </c>
      <c r="I152" s="17">
        <v>200000</v>
      </c>
      <c r="J152" t="s">
        <v>456</v>
      </c>
      <c r="K152" s="6" t="s">
        <v>500</v>
      </c>
      <c r="L152">
        <v>0</v>
      </c>
      <c r="M152">
        <v>0</v>
      </c>
      <c r="N152" s="17">
        <v>3000000</v>
      </c>
      <c r="O152" s="24">
        <f t="shared" si="19"/>
        <v>10500000</v>
      </c>
      <c r="P152" t="s">
        <v>497</v>
      </c>
      <c r="Q152">
        <f t="shared" ca="1" si="20"/>
        <v>120000</v>
      </c>
      <c r="R152" t="s">
        <v>506</v>
      </c>
      <c r="S152">
        <v>1.95</v>
      </c>
      <c r="T152" s="20">
        <f t="shared" ca="1" si="21"/>
        <v>46296</v>
      </c>
      <c r="U152">
        <f ca="1">_xlfn.DAYS(H152,T152)</f>
        <v>91</v>
      </c>
      <c r="V152" t="str">
        <f t="shared" ca="1" si="22"/>
        <v>Pre contrato</v>
      </c>
      <c r="W152" s="34">
        <f t="shared" si="23"/>
        <v>1200000</v>
      </c>
      <c r="X152" s="34">
        <f t="shared" si="24"/>
        <v>2600000</v>
      </c>
    </row>
    <row r="153" spans="1:24">
      <c r="A153" t="s">
        <v>575</v>
      </c>
      <c r="B153" t="s">
        <v>576</v>
      </c>
      <c r="C153" t="s">
        <v>576</v>
      </c>
      <c r="D153" s="6" t="s">
        <v>305</v>
      </c>
      <c r="E153">
        <f t="shared" ca="1" si="18"/>
        <v>31</v>
      </c>
      <c r="F153" s="20">
        <v>34778</v>
      </c>
      <c r="G153" s="20">
        <v>44953</v>
      </c>
      <c r="H153" s="20">
        <v>46022</v>
      </c>
      <c r="I153" s="17">
        <v>230000</v>
      </c>
      <c r="J153" t="s">
        <v>379</v>
      </c>
      <c r="K153" s="6" t="s">
        <v>495</v>
      </c>
      <c r="L153">
        <v>0</v>
      </c>
      <c r="M153">
        <v>0</v>
      </c>
      <c r="N153" s="17">
        <v>21000000</v>
      </c>
      <c r="O153" s="24">
        <f t="shared" si="19"/>
        <v>73500000</v>
      </c>
      <c r="P153" t="s">
        <v>493</v>
      </c>
      <c r="Q153">
        <f t="shared" ca="1" si="20"/>
        <v>100000</v>
      </c>
      <c r="R153" t="s">
        <v>506</v>
      </c>
      <c r="S153">
        <v>1.88</v>
      </c>
      <c r="T153" s="20">
        <f t="shared" ca="1" si="21"/>
        <v>46296</v>
      </c>
      <c r="U153">
        <f ca="1">_xlfn.DAYS(H152,T152)</f>
        <v>91</v>
      </c>
      <c r="V153" t="str">
        <f t="shared" ca="1" si="22"/>
        <v>Pre contrato</v>
      </c>
      <c r="W153" s="34">
        <f t="shared" si="23"/>
        <v>1380000</v>
      </c>
      <c r="X153" s="34">
        <f t="shared" si="24"/>
        <v>2990000</v>
      </c>
    </row>
    <row r="154" spans="1:24">
      <c r="A154" t="s">
        <v>577</v>
      </c>
      <c r="B154" t="s">
        <v>576</v>
      </c>
      <c r="C154" t="s">
        <v>576</v>
      </c>
      <c r="D154" s="6" t="s">
        <v>305</v>
      </c>
      <c r="E154">
        <f t="shared" ca="1" si="18"/>
        <v>29</v>
      </c>
      <c r="F154" s="20">
        <v>35367</v>
      </c>
      <c r="G154" s="20">
        <v>45390</v>
      </c>
      <c r="H154" s="20">
        <v>46387</v>
      </c>
      <c r="I154" s="17">
        <v>100000</v>
      </c>
      <c r="J154" t="s">
        <v>390</v>
      </c>
      <c r="K154" s="6" t="s">
        <v>495</v>
      </c>
      <c r="L154">
        <v>0</v>
      </c>
      <c r="M154">
        <v>0</v>
      </c>
      <c r="N154" s="17">
        <v>3000000</v>
      </c>
      <c r="O154" s="24">
        <f t="shared" si="19"/>
        <v>10500000</v>
      </c>
      <c r="P154" t="s">
        <v>493</v>
      </c>
      <c r="Q154">
        <f t="shared" ca="1" si="20"/>
        <v>120000</v>
      </c>
      <c r="R154" t="s">
        <v>506</v>
      </c>
      <c r="S154">
        <v>1.93</v>
      </c>
      <c r="T154" s="20">
        <f t="shared" ca="1" si="21"/>
        <v>46296</v>
      </c>
      <c r="U154">
        <f ca="1">_xlfn.DAYS(H154,T154)</f>
        <v>91</v>
      </c>
      <c r="V154" t="str">
        <f t="shared" ca="1" si="22"/>
        <v>Pre contrato</v>
      </c>
      <c r="W154" s="34">
        <f t="shared" si="23"/>
        <v>600000</v>
      </c>
      <c r="X154" s="34">
        <f t="shared" si="24"/>
        <v>1300000</v>
      </c>
    </row>
    <row r="155" spans="1:24">
      <c r="A155" t="s">
        <v>578</v>
      </c>
      <c r="B155" t="s">
        <v>576</v>
      </c>
      <c r="C155" t="s">
        <v>576</v>
      </c>
      <c r="D155" s="6" t="s">
        <v>305</v>
      </c>
      <c r="E155">
        <f t="shared" ca="1" si="18"/>
        <v>27</v>
      </c>
      <c r="F155" s="20">
        <v>36328</v>
      </c>
      <c r="G155" s="20">
        <v>45108</v>
      </c>
      <c r="H155" s="20">
        <v>46022</v>
      </c>
      <c r="I155" s="17">
        <v>75000</v>
      </c>
      <c r="J155" t="s">
        <v>348</v>
      </c>
      <c r="K155" s="6" t="s">
        <v>495</v>
      </c>
      <c r="L155">
        <v>0</v>
      </c>
      <c r="M155">
        <v>0</v>
      </c>
      <c r="N155" s="17">
        <v>2000000</v>
      </c>
      <c r="O155" s="24">
        <f t="shared" si="19"/>
        <v>7000000</v>
      </c>
      <c r="P155" t="s">
        <v>493</v>
      </c>
      <c r="Q155">
        <f t="shared" ca="1" si="20"/>
        <v>120000</v>
      </c>
      <c r="R155" t="s">
        <v>506</v>
      </c>
      <c r="S155">
        <v>1.98</v>
      </c>
      <c r="T155" s="20">
        <f t="shared" ca="1" si="21"/>
        <v>46296</v>
      </c>
      <c r="U155">
        <f ca="1">_xlfn.DAYS(H155,T155)</f>
        <v>-274</v>
      </c>
      <c r="V155" t="str">
        <f t="shared" ca="1" si="22"/>
        <v>Pre contrato</v>
      </c>
      <c r="W155" s="34">
        <f t="shared" si="23"/>
        <v>450000</v>
      </c>
      <c r="X155" s="34">
        <f t="shared" si="24"/>
        <v>975000</v>
      </c>
    </row>
    <row r="156" spans="1:24">
      <c r="A156" t="s">
        <v>579</v>
      </c>
      <c r="B156" t="s">
        <v>576</v>
      </c>
      <c r="C156" t="s">
        <v>576</v>
      </c>
      <c r="D156" s="6" t="s">
        <v>305</v>
      </c>
      <c r="E156">
        <f t="shared" ca="1" si="18"/>
        <v>20</v>
      </c>
      <c r="F156" s="20">
        <v>38751</v>
      </c>
      <c r="G156" s="20">
        <v>45292</v>
      </c>
      <c r="H156" s="20">
        <v>46022</v>
      </c>
      <c r="I156" s="17">
        <v>110000</v>
      </c>
      <c r="J156" t="s">
        <v>424</v>
      </c>
      <c r="K156" s="6" t="s">
        <v>495</v>
      </c>
      <c r="L156">
        <v>0</v>
      </c>
      <c r="M156">
        <v>0</v>
      </c>
      <c r="N156" s="17">
        <v>1500000</v>
      </c>
      <c r="O156" s="24">
        <f t="shared" si="19"/>
        <v>5250000</v>
      </c>
      <c r="P156" t="s">
        <v>493</v>
      </c>
      <c r="Q156">
        <f t="shared" ca="1" si="20"/>
        <v>160000</v>
      </c>
      <c r="R156" t="s">
        <v>506</v>
      </c>
      <c r="S156">
        <v>1.96</v>
      </c>
      <c r="T156" s="20">
        <f t="shared" ca="1" si="21"/>
        <v>46296</v>
      </c>
      <c r="U156">
        <f ca="1">_xlfn.DAYS(H156,T156)</f>
        <v>-274</v>
      </c>
      <c r="V156" t="str">
        <f t="shared" ca="1" si="22"/>
        <v>Pre contrato</v>
      </c>
      <c r="W156" s="34">
        <f t="shared" si="23"/>
        <v>660000</v>
      </c>
      <c r="X156" s="34">
        <f t="shared" si="24"/>
        <v>1430000</v>
      </c>
    </row>
    <row r="157" spans="1:24">
      <c r="A157" t="s">
        <v>580</v>
      </c>
      <c r="B157" t="s">
        <v>576</v>
      </c>
      <c r="C157" t="s">
        <v>576</v>
      </c>
      <c r="D157" s="6" t="s">
        <v>305</v>
      </c>
      <c r="E157">
        <f t="shared" ca="1" si="18"/>
        <v>28</v>
      </c>
      <c r="F157" s="20">
        <v>35993</v>
      </c>
      <c r="G157" s="20">
        <v>45292</v>
      </c>
      <c r="H157" s="20">
        <v>46022</v>
      </c>
      <c r="I157" s="17">
        <v>270000</v>
      </c>
      <c r="J157" t="s">
        <v>379</v>
      </c>
      <c r="K157" s="6" t="s">
        <v>492</v>
      </c>
      <c r="L157">
        <v>0</v>
      </c>
      <c r="M157">
        <v>0</v>
      </c>
      <c r="N157" s="17">
        <v>5000000</v>
      </c>
      <c r="O157" s="24">
        <f t="shared" si="19"/>
        <v>17500000</v>
      </c>
      <c r="P157" t="s">
        <v>493</v>
      </c>
      <c r="Q157">
        <f t="shared" ca="1" si="20"/>
        <v>120000</v>
      </c>
      <c r="R157" t="s">
        <v>506</v>
      </c>
      <c r="S157">
        <v>1.87</v>
      </c>
      <c r="T157" s="20">
        <f t="shared" ca="1" si="21"/>
        <v>46296</v>
      </c>
      <c r="U157">
        <f ca="1">_xlfn.DAYS(H156,T156)</f>
        <v>-274</v>
      </c>
      <c r="V157" t="str">
        <f t="shared" ca="1" si="22"/>
        <v>Pre contrato</v>
      </c>
      <c r="W157" s="34">
        <f t="shared" si="23"/>
        <v>1620000</v>
      </c>
      <c r="X157" s="34">
        <f t="shared" si="24"/>
        <v>3510000</v>
      </c>
    </row>
    <row r="158" spans="1:24">
      <c r="A158" t="s">
        <v>581</v>
      </c>
      <c r="B158" t="s">
        <v>576</v>
      </c>
      <c r="C158" t="s">
        <v>576</v>
      </c>
      <c r="D158" s="6" t="s">
        <v>305</v>
      </c>
      <c r="E158">
        <f t="shared" ca="1" si="18"/>
        <v>30</v>
      </c>
      <c r="F158" s="20">
        <v>35130</v>
      </c>
      <c r="G158" s="20">
        <v>44927</v>
      </c>
      <c r="H158" s="20">
        <v>46022</v>
      </c>
      <c r="I158" s="17">
        <v>300000</v>
      </c>
      <c r="J158" t="s">
        <v>348</v>
      </c>
      <c r="K158" s="6" t="s">
        <v>492</v>
      </c>
      <c r="L158">
        <v>0</v>
      </c>
      <c r="M158">
        <v>0</v>
      </c>
      <c r="N158" s="17">
        <v>7000000</v>
      </c>
      <c r="O158" s="24">
        <f t="shared" si="19"/>
        <v>24500000</v>
      </c>
      <c r="P158" t="s">
        <v>497</v>
      </c>
      <c r="Q158">
        <f t="shared" ca="1" si="20"/>
        <v>120000</v>
      </c>
      <c r="R158" t="s">
        <v>582</v>
      </c>
      <c r="S158">
        <v>1.83</v>
      </c>
      <c r="T158" s="20">
        <f t="shared" ca="1" si="21"/>
        <v>46296</v>
      </c>
      <c r="U158">
        <f ca="1">_xlfn.DAYS(H158,T158)</f>
        <v>-274</v>
      </c>
      <c r="V158" t="str">
        <f t="shared" ca="1" si="22"/>
        <v>Pre contrato</v>
      </c>
      <c r="W158" s="34">
        <f t="shared" si="23"/>
        <v>1800000</v>
      </c>
      <c r="X158" s="34">
        <f t="shared" si="24"/>
        <v>3900000</v>
      </c>
    </row>
    <row r="159" spans="1:24">
      <c r="A159" t="s">
        <v>583</v>
      </c>
      <c r="B159" t="s">
        <v>576</v>
      </c>
      <c r="C159" t="s">
        <v>576</v>
      </c>
      <c r="D159" s="6" t="s">
        <v>342</v>
      </c>
      <c r="E159">
        <f t="shared" ca="1" si="18"/>
        <v>30</v>
      </c>
      <c r="F159" s="20">
        <v>35174</v>
      </c>
      <c r="G159" s="20">
        <v>44976</v>
      </c>
      <c r="H159" s="20">
        <v>46022</v>
      </c>
      <c r="I159" s="17">
        <v>220000</v>
      </c>
      <c r="J159" t="s">
        <v>584</v>
      </c>
      <c r="K159" s="6" t="s">
        <v>492</v>
      </c>
      <c r="L159">
        <v>2</v>
      </c>
      <c r="M159">
        <v>13</v>
      </c>
      <c r="N159" s="17">
        <v>5000000</v>
      </c>
      <c r="O159" s="24">
        <f t="shared" si="19"/>
        <v>17500000</v>
      </c>
      <c r="P159" t="s">
        <v>493</v>
      </c>
      <c r="Q159">
        <f t="shared" ca="1" si="20"/>
        <v>120000</v>
      </c>
      <c r="R159" t="s">
        <v>506</v>
      </c>
      <c r="S159">
        <v>1.88</v>
      </c>
      <c r="T159" s="20">
        <f t="shared" ca="1" si="21"/>
        <v>46296</v>
      </c>
      <c r="U159">
        <f ca="1">_xlfn.DAYS(H159,T159)</f>
        <v>-274</v>
      </c>
      <c r="V159" t="str">
        <f t="shared" ca="1" si="22"/>
        <v>Pre contrato</v>
      </c>
      <c r="W159" s="34">
        <f t="shared" si="23"/>
        <v>1320000</v>
      </c>
      <c r="X159" s="34">
        <f t="shared" si="24"/>
        <v>2860000</v>
      </c>
    </row>
    <row r="160" spans="1:24">
      <c r="A160" t="s">
        <v>585</v>
      </c>
      <c r="B160" t="s">
        <v>576</v>
      </c>
      <c r="C160" t="s">
        <v>576</v>
      </c>
      <c r="D160" s="6" t="s">
        <v>322</v>
      </c>
      <c r="E160">
        <f t="shared" ca="1" si="18"/>
        <v>39</v>
      </c>
      <c r="F160" s="20">
        <v>31992</v>
      </c>
      <c r="G160" s="20">
        <v>44976</v>
      </c>
      <c r="H160" s="20">
        <v>46022</v>
      </c>
      <c r="I160" s="17">
        <v>400000</v>
      </c>
      <c r="J160" t="s">
        <v>404</v>
      </c>
      <c r="K160" s="6" t="s">
        <v>492</v>
      </c>
      <c r="L160">
        <v>1</v>
      </c>
      <c r="M160">
        <v>21</v>
      </c>
      <c r="N160" s="17">
        <v>1250000</v>
      </c>
      <c r="O160" s="24">
        <f t="shared" si="19"/>
        <v>4375000</v>
      </c>
      <c r="P160" t="s">
        <v>493</v>
      </c>
      <c r="Q160">
        <f t="shared" ca="1" si="20"/>
        <v>100000</v>
      </c>
      <c r="R160" t="s">
        <v>506</v>
      </c>
      <c r="S160">
        <v>1.71</v>
      </c>
      <c r="T160" s="20">
        <f t="shared" ca="1" si="21"/>
        <v>46296</v>
      </c>
      <c r="U160">
        <f ca="1">_xlfn.DAYS(H160,T160)</f>
        <v>-274</v>
      </c>
      <c r="V160" t="str">
        <f t="shared" ca="1" si="22"/>
        <v>Pre contrato</v>
      </c>
      <c r="W160" s="34">
        <f t="shared" si="23"/>
        <v>2400000</v>
      </c>
      <c r="X160" s="34">
        <f t="shared" si="24"/>
        <v>5200000</v>
      </c>
    </row>
    <row r="161" spans="1:24">
      <c r="A161" t="s">
        <v>586</v>
      </c>
      <c r="B161" t="s">
        <v>576</v>
      </c>
      <c r="C161" t="s">
        <v>576</v>
      </c>
      <c r="D161" s="6" t="s">
        <v>305</v>
      </c>
      <c r="E161">
        <f t="shared" ca="1" si="18"/>
        <v>38</v>
      </c>
      <c r="F161" s="20">
        <v>32400</v>
      </c>
      <c r="G161" s="20">
        <v>45108</v>
      </c>
      <c r="H161" s="20">
        <v>46022</v>
      </c>
      <c r="I161" s="17">
        <v>350000</v>
      </c>
      <c r="J161" t="s">
        <v>401</v>
      </c>
      <c r="K161" s="6" t="s">
        <v>492</v>
      </c>
      <c r="L161">
        <v>1</v>
      </c>
      <c r="M161">
        <v>26</v>
      </c>
      <c r="N161" s="17">
        <v>2000000</v>
      </c>
      <c r="O161" s="24">
        <f t="shared" si="19"/>
        <v>7000000</v>
      </c>
      <c r="P161" t="s">
        <v>493</v>
      </c>
      <c r="Q161">
        <f t="shared" ca="1" si="20"/>
        <v>100000</v>
      </c>
      <c r="R161" t="s">
        <v>507</v>
      </c>
      <c r="S161">
        <v>1.91</v>
      </c>
      <c r="T161" s="20">
        <f t="shared" ca="1" si="21"/>
        <v>46296</v>
      </c>
      <c r="U161">
        <f ca="1">_xlfn.DAYS(H160,T160)</f>
        <v>-274</v>
      </c>
      <c r="V161" t="str">
        <f t="shared" ca="1" si="22"/>
        <v>Pre contrato</v>
      </c>
      <c r="W161" s="34">
        <f t="shared" si="23"/>
        <v>2100000</v>
      </c>
      <c r="X161" s="34">
        <f t="shared" si="24"/>
        <v>4550000</v>
      </c>
    </row>
    <row r="162" spans="1:24">
      <c r="A162" t="s">
        <v>587</v>
      </c>
      <c r="B162" t="s">
        <v>576</v>
      </c>
      <c r="C162" t="s">
        <v>576</v>
      </c>
      <c r="D162" s="6" t="s">
        <v>305</v>
      </c>
      <c r="E162">
        <f t="shared" ca="1" si="18"/>
        <v>26</v>
      </c>
      <c r="F162" s="20">
        <v>36544</v>
      </c>
      <c r="G162" s="20">
        <v>45338</v>
      </c>
      <c r="H162" s="20">
        <v>45658</v>
      </c>
      <c r="I162" s="17">
        <v>60000</v>
      </c>
      <c r="J162" t="s">
        <v>588</v>
      </c>
      <c r="K162" s="6" t="s">
        <v>492</v>
      </c>
      <c r="L162">
        <v>0</v>
      </c>
      <c r="M162">
        <v>0</v>
      </c>
      <c r="N162" s="17">
        <v>1200000</v>
      </c>
      <c r="O162" s="24">
        <f t="shared" si="19"/>
        <v>4200000</v>
      </c>
      <c r="P162" t="s">
        <v>493</v>
      </c>
      <c r="Q162">
        <f t="shared" ca="1" si="20"/>
        <v>120000</v>
      </c>
      <c r="R162" t="s">
        <v>506</v>
      </c>
      <c r="S162">
        <v>1.81</v>
      </c>
      <c r="T162" s="20">
        <f t="shared" ca="1" si="21"/>
        <v>46296</v>
      </c>
      <c r="U162">
        <f ca="1">_xlfn.DAYS(H162,T162)</f>
        <v>-638</v>
      </c>
      <c r="V162" t="str">
        <f t="shared" ca="1" si="22"/>
        <v>Pre contrato</v>
      </c>
      <c r="W162" s="34">
        <f t="shared" si="23"/>
        <v>360000</v>
      </c>
      <c r="X162" s="34">
        <f t="shared" si="24"/>
        <v>780000</v>
      </c>
    </row>
    <row r="163" spans="1:24">
      <c r="A163" t="s">
        <v>589</v>
      </c>
      <c r="B163" t="s">
        <v>576</v>
      </c>
      <c r="C163" t="s">
        <v>576</v>
      </c>
      <c r="D163" s="6" t="s">
        <v>305</v>
      </c>
      <c r="E163">
        <f t="shared" ca="1" si="18"/>
        <v>25</v>
      </c>
      <c r="F163" s="20">
        <v>36808</v>
      </c>
      <c r="G163" s="20">
        <v>44927</v>
      </c>
      <c r="H163" s="20">
        <v>47118</v>
      </c>
      <c r="I163" s="17">
        <v>360000</v>
      </c>
      <c r="J163" t="s">
        <v>590</v>
      </c>
      <c r="K163" s="6" t="s">
        <v>496</v>
      </c>
      <c r="L163">
        <v>2</v>
      </c>
      <c r="M163">
        <v>21</v>
      </c>
      <c r="N163" s="17">
        <v>13000000</v>
      </c>
      <c r="O163" s="24">
        <f t="shared" si="19"/>
        <v>45500000</v>
      </c>
      <c r="P163" t="s">
        <v>497</v>
      </c>
      <c r="Q163">
        <f t="shared" ca="1" si="20"/>
        <v>120000</v>
      </c>
      <c r="R163" t="s">
        <v>505</v>
      </c>
      <c r="S163">
        <v>1.75</v>
      </c>
      <c r="T163" s="20">
        <f t="shared" ca="1" si="21"/>
        <v>46296</v>
      </c>
      <c r="U163">
        <f ca="1">_xlfn.DAYS(H163,T163)</f>
        <v>822</v>
      </c>
      <c r="V163" t="str">
        <f t="shared" ca="1" si="22"/>
        <v>Com Contrato em vigor</v>
      </c>
      <c r="W163" s="34">
        <f t="shared" si="23"/>
        <v>2160000</v>
      </c>
      <c r="X163" s="34">
        <f t="shared" si="24"/>
        <v>4680000</v>
      </c>
    </row>
    <row r="164" spans="1:24">
      <c r="A164" t="s">
        <v>591</v>
      </c>
      <c r="B164" t="s">
        <v>576</v>
      </c>
      <c r="C164" t="s">
        <v>576</v>
      </c>
      <c r="D164" s="6" t="s">
        <v>305</v>
      </c>
      <c r="E164">
        <f t="shared" ca="1" si="18"/>
        <v>33</v>
      </c>
      <c r="F164" s="20">
        <v>34143</v>
      </c>
      <c r="G164" s="20">
        <v>45327</v>
      </c>
      <c r="H164" s="20">
        <v>45658</v>
      </c>
      <c r="I164" s="17">
        <v>300000</v>
      </c>
      <c r="J164" t="s">
        <v>357</v>
      </c>
      <c r="K164" s="6" t="s">
        <v>496</v>
      </c>
      <c r="L164">
        <v>1</v>
      </c>
      <c r="M164">
        <v>32</v>
      </c>
      <c r="N164" s="17">
        <v>1500000</v>
      </c>
      <c r="O164" s="24">
        <f t="shared" si="19"/>
        <v>5250000</v>
      </c>
      <c r="P164" t="s">
        <v>497</v>
      </c>
      <c r="Q164">
        <f t="shared" ca="1" si="20"/>
        <v>100000</v>
      </c>
      <c r="R164" t="s">
        <v>506</v>
      </c>
      <c r="S164">
        <v>1.77</v>
      </c>
      <c r="T164" s="20">
        <f t="shared" ca="1" si="21"/>
        <v>46296</v>
      </c>
      <c r="U164">
        <f ca="1">_xlfn.DAYS(H164,T164)</f>
        <v>-638</v>
      </c>
      <c r="V164" t="str">
        <f t="shared" ca="1" si="22"/>
        <v>Pre contrato</v>
      </c>
      <c r="W164" s="34">
        <f t="shared" si="23"/>
        <v>1800000</v>
      </c>
      <c r="X164" s="34">
        <f t="shared" si="24"/>
        <v>3900000</v>
      </c>
    </row>
    <row r="165" spans="1:24">
      <c r="A165" t="s">
        <v>592</v>
      </c>
      <c r="B165" t="s">
        <v>576</v>
      </c>
      <c r="C165" t="s">
        <v>576</v>
      </c>
      <c r="D165" s="6" t="s">
        <v>319</v>
      </c>
      <c r="E165">
        <f t="shared" ca="1" si="18"/>
        <v>29</v>
      </c>
      <c r="F165" s="20">
        <v>35503</v>
      </c>
      <c r="G165" s="20">
        <v>44930</v>
      </c>
      <c r="H165" s="20">
        <v>46022</v>
      </c>
      <c r="I165" s="17">
        <v>333000</v>
      </c>
      <c r="J165" t="s">
        <v>560</v>
      </c>
      <c r="K165" s="6" t="s">
        <v>498</v>
      </c>
      <c r="L165">
        <v>1</v>
      </c>
      <c r="M165">
        <v>19</v>
      </c>
      <c r="N165" s="17">
        <v>6700000</v>
      </c>
      <c r="O165" s="24">
        <f t="shared" si="19"/>
        <v>23450000</v>
      </c>
      <c r="P165" t="s">
        <v>493</v>
      </c>
      <c r="Q165">
        <f t="shared" ca="1" si="20"/>
        <v>120000</v>
      </c>
      <c r="R165" t="s">
        <v>505</v>
      </c>
      <c r="S165">
        <v>1.83</v>
      </c>
      <c r="T165" s="20">
        <f t="shared" ca="1" si="21"/>
        <v>46296</v>
      </c>
      <c r="U165">
        <f ca="1">_xlfn.DAYS(H164,T164)</f>
        <v>-638</v>
      </c>
      <c r="V165" t="str">
        <f t="shared" ca="1" si="22"/>
        <v>Pre contrato</v>
      </c>
      <c r="W165" s="34">
        <f t="shared" si="23"/>
        <v>1998000</v>
      </c>
      <c r="X165" s="34">
        <f t="shared" si="24"/>
        <v>4329000</v>
      </c>
    </row>
    <row r="166" spans="1:24">
      <c r="A166" t="s">
        <v>593</v>
      </c>
      <c r="B166" t="s">
        <v>576</v>
      </c>
      <c r="C166" t="s">
        <v>576</v>
      </c>
      <c r="D166" s="6" t="s">
        <v>305</v>
      </c>
      <c r="E166">
        <f t="shared" ca="1" si="18"/>
        <v>30</v>
      </c>
      <c r="F166" s="20">
        <v>35271</v>
      </c>
      <c r="G166" s="20">
        <v>45292</v>
      </c>
      <c r="H166" s="20">
        <v>46752</v>
      </c>
      <c r="I166" s="17">
        <v>350000</v>
      </c>
      <c r="J166" t="s">
        <v>348</v>
      </c>
      <c r="K166" s="6" t="s">
        <v>498</v>
      </c>
      <c r="L166">
        <v>1</v>
      </c>
      <c r="M166">
        <v>10</v>
      </c>
      <c r="N166" s="17">
        <v>4000000</v>
      </c>
      <c r="O166" s="24">
        <f t="shared" si="19"/>
        <v>14000000</v>
      </c>
      <c r="P166" t="s">
        <v>493</v>
      </c>
      <c r="Q166">
        <f t="shared" ca="1" si="20"/>
        <v>120000</v>
      </c>
      <c r="R166" t="s">
        <v>503</v>
      </c>
      <c r="S166">
        <v>1.75</v>
      </c>
      <c r="T166" s="20">
        <f t="shared" ca="1" si="21"/>
        <v>46296</v>
      </c>
      <c r="U166">
        <f ca="1">_xlfn.DAYS(H166,T166)</f>
        <v>456</v>
      </c>
      <c r="V166" t="str">
        <f t="shared" ca="1" si="22"/>
        <v>Com Contrato em vigor</v>
      </c>
      <c r="W166" s="34">
        <f t="shared" si="23"/>
        <v>2100000</v>
      </c>
      <c r="X166" s="34">
        <f t="shared" si="24"/>
        <v>4550000</v>
      </c>
    </row>
    <row r="167" spans="1:24">
      <c r="A167" t="s">
        <v>594</v>
      </c>
      <c r="B167" t="s">
        <v>576</v>
      </c>
      <c r="C167" t="s">
        <v>576</v>
      </c>
      <c r="D167" s="6" t="s">
        <v>305</v>
      </c>
      <c r="E167">
        <f t="shared" ca="1" si="18"/>
        <v>32</v>
      </c>
      <c r="F167" s="22">
        <v>34572</v>
      </c>
      <c r="G167" s="20">
        <v>44939</v>
      </c>
      <c r="H167" s="20">
        <v>46022</v>
      </c>
      <c r="I167" s="17">
        <v>280000</v>
      </c>
      <c r="J167" s="23" t="s">
        <v>595</v>
      </c>
      <c r="K167" s="6" t="s">
        <v>494</v>
      </c>
      <c r="L167">
        <v>1</v>
      </c>
      <c r="M167">
        <v>26</v>
      </c>
      <c r="N167" s="17">
        <v>8000000</v>
      </c>
      <c r="O167" s="24">
        <f t="shared" si="19"/>
        <v>28000000</v>
      </c>
      <c r="P167" t="s">
        <v>493</v>
      </c>
      <c r="Q167">
        <f t="shared" ca="1" si="20"/>
        <v>100000</v>
      </c>
      <c r="R167" t="s">
        <v>503</v>
      </c>
      <c r="S167">
        <v>1.78</v>
      </c>
      <c r="T167" s="20">
        <f t="shared" ca="1" si="21"/>
        <v>46296</v>
      </c>
      <c r="U167">
        <f ca="1">_xlfn.DAYS(H167,T167)</f>
        <v>-274</v>
      </c>
      <c r="V167" t="str">
        <f t="shared" ca="1" si="22"/>
        <v>Pre contrato</v>
      </c>
      <c r="W167" s="34">
        <f t="shared" si="23"/>
        <v>1680000</v>
      </c>
      <c r="X167" s="34">
        <f t="shared" si="24"/>
        <v>3640000</v>
      </c>
    </row>
    <row r="168" spans="1:24">
      <c r="A168" t="s">
        <v>596</v>
      </c>
      <c r="B168" t="s">
        <v>576</v>
      </c>
      <c r="C168" t="s">
        <v>576</v>
      </c>
      <c r="D168" s="6" t="s">
        <v>305</v>
      </c>
      <c r="E168">
        <f t="shared" ca="1" si="18"/>
        <v>37</v>
      </c>
      <c r="F168" s="20">
        <v>32550</v>
      </c>
      <c r="G168" s="20">
        <v>45487</v>
      </c>
      <c r="H168" s="20">
        <v>46022</v>
      </c>
      <c r="I168" s="17">
        <v>400000</v>
      </c>
      <c r="J168" t="s">
        <v>401</v>
      </c>
      <c r="K168" s="6" t="s">
        <v>494</v>
      </c>
      <c r="L168">
        <v>2</v>
      </c>
      <c r="M168">
        <v>31</v>
      </c>
      <c r="N168" s="17">
        <v>1000000</v>
      </c>
      <c r="O168" s="24">
        <f t="shared" si="19"/>
        <v>3500000</v>
      </c>
      <c r="P168" t="s">
        <v>493</v>
      </c>
      <c r="Q168">
        <f t="shared" ca="1" si="20"/>
        <v>100000</v>
      </c>
      <c r="R168" t="s">
        <v>506</v>
      </c>
      <c r="S168">
        <v>1.88</v>
      </c>
      <c r="T168" s="20">
        <f t="shared" ca="1" si="21"/>
        <v>46296</v>
      </c>
      <c r="U168">
        <f ca="1">_xlfn.DAYS(H168,T168)</f>
        <v>-274</v>
      </c>
      <c r="V168" t="str">
        <f t="shared" ca="1" si="22"/>
        <v>Pre contrato</v>
      </c>
      <c r="W168" s="34">
        <f t="shared" si="23"/>
        <v>2400000</v>
      </c>
      <c r="X168" s="34">
        <f t="shared" si="24"/>
        <v>5200000</v>
      </c>
    </row>
    <row r="169" spans="1:24">
      <c r="A169" t="s">
        <v>597</v>
      </c>
      <c r="B169" t="s">
        <v>576</v>
      </c>
      <c r="C169" t="s">
        <v>576</v>
      </c>
      <c r="D169" s="6" t="s">
        <v>305</v>
      </c>
      <c r="E169">
        <f t="shared" ca="1" si="18"/>
        <v>24</v>
      </c>
      <c r="F169" s="20">
        <v>37301</v>
      </c>
      <c r="G169" s="20">
        <v>45341</v>
      </c>
      <c r="H169" s="20">
        <v>47118</v>
      </c>
      <c r="I169" s="17">
        <v>350000</v>
      </c>
      <c r="J169" t="s">
        <v>598</v>
      </c>
      <c r="K169" s="6" t="s">
        <v>494</v>
      </c>
      <c r="L169">
        <v>1</v>
      </c>
      <c r="M169">
        <v>31</v>
      </c>
      <c r="N169" s="17">
        <v>12000000</v>
      </c>
      <c r="O169" s="24">
        <f t="shared" si="19"/>
        <v>42000000</v>
      </c>
      <c r="P169" t="s">
        <v>493</v>
      </c>
      <c r="Q169">
        <f t="shared" ca="1" si="20"/>
        <v>160000</v>
      </c>
      <c r="R169" t="s">
        <v>506</v>
      </c>
      <c r="S169">
        <v>1.79</v>
      </c>
      <c r="T169" s="20">
        <f t="shared" ca="1" si="21"/>
        <v>46296</v>
      </c>
      <c r="U169">
        <f ca="1">_xlfn.DAYS(H168,T168)</f>
        <v>-274</v>
      </c>
      <c r="V169" t="str">
        <f t="shared" ca="1" si="22"/>
        <v>Pre contrato</v>
      </c>
      <c r="W169" s="34">
        <f t="shared" si="23"/>
        <v>2100000</v>
      </c>
      <c r="X169" s="34">
        <f t="shared" si="24"/>
        <v>4550000</v>
      </c>
    </row>
    <row r="170" spans="1:24">
      <c r="A170" t="s">
        <v>599</v>
      </c>
      <c r="B170" t="s">
        <v>576</v>
      </c>
      <c r="C170" t="s">
        <v>576</v>
      </c>
      <c r="D170" s="6" t="s">
        <v>305</v>
      </c>
      <c r="E170">
        <f t="shared" ca="1" si="18"/>
        <v>27</v>
      </c>
      <c r="F170" s="20">
        <v>36181</v>
      </c>
      <c r="G170" s="20">
        <v>44603</v>
      </c>
      <c r="H170" s="20">
        <v>46022</v>
      </c>
      <c r="I170" s="17">
        <v>150000</v>
      </c>
      <c r="J170" t="s">
        <v>348</v>
      </c>
      <c r="K170" s="6" t="s">
        <v>494</v>
      </c>
      <c r="L170">
        <v>0</v>
      </c>
      <c r="M170">
        <v>0</v>
      </c>
      <c r="N170" s="17">
        <v>3000000</v>
      </c>
      <c r="O170" s="24">
        <f t="shared" si="19"/>
        <v>10500000</v>
      </c>
      <c r="P170" t="s">
        <v>493</v>
      </c>
      <c r="Q170">
        <f t="shared" ca="1" si="20"/>
        <v>120000</v>
      </c>
      <c r="R170" t="s">
        <v>506</v>
      </c>
      <c r="S170">
        <v>1.84</v>
      </c>
      <c r="T170" s="20">
        <f t="shared" ca="1" si="21"/>
        <v>46296</v>
      </c>
      <c r="U170">
        <f ca="1">_xlfn.DAYS(H170,T170)</f>
        <v>-274</v>
      </c>
      <c r="V170" t="str">
        <f t="shared" ca="1" si="22"/>
        <v>Pre contrato</v>
      </c>
      <c r="W170" s="34">
        <f t="shared" si="23"/>
        <v>900000</v>
      </c>
      <c r="X170" s="34">
        <f t="shared" si="24"/>
        <v>1950000</v>
      </c>
    </row>
    <row r="171" spans="1:24">
      <c r="A171" t="s">
        <v>600</v>
      </c>
      <c r="B171" t="s">
        <v>576</v>
      </c>
      <c r="C171" t="s">
        <v>576</v>
      </c>
      <c r="D171" s="6" t="s">
        <v>305</v>
      </c>
      <c r="E171">
        <f t="shared" ca="1" si="18"/>
        <v>28</v>
      </c>
      <c r="F171" s="20">
        <v>35798</v>
      </c>
      <c r="G171" s="20">
        <v>45292</v>
      </c>
      <c r="H171" s="20">
        <v>46752</v>
      </c>
      <c r="I171" s="17">
        <v>460000</v>
      </c>
      <c r="J171" t="s">
        <v>429</v>
      </c>
      <c r="K171" s="6" t="s">
        <v>494</v>
      </c>
      <c r="L171">
        <v>1</v>
      </c>
      <c r="M171">
        <v>12</v>
      </c>
      <c r="N171" s="17">
        <v>4000000</v>
      </c>
      <c r="O171" s="24">
        <f t="shared" si="19"/>
        <v>14000000</v>
      </c>
      <c r="P171" t="s">
        <v>493</v>
      </c>
      <c r="Q171">
        <f t="shared" ca="1" si="20"/>
        <v>120000</v>
      </c>
      <c r="R171" t="s">
        <v>506</v>
      </c>
      <c r="S171">
        <v>1.77</v>
      </c>
      <c r="T171" s="20">
        <f t="shared" ca="1" si="21"/>
        <v>46296</v>
      </c>
      <c r="U171">
        <f ca="1">_xlfn.DAYS(H171,T171)</f>
        <v>456</v>
      </c>
      <c r="V171" t="str">
        <f t="shared" ca="1" si="22"/>
        <v>Com Contrato em vigor</v>
      </c>
      <c r="W171" s="34">
        <f t="shared" si="23"/>
        <v>2760000</v>
      </c>
      <c r="X171" s="34">
        <f t="shared" si="24"/>
        <v>5980000</v>
      </c>
    </row>
    <row r="172" spans="1:24">
      <c r="A172" t="s">
        <v>130</v>
      </c>
      <c r="B172" t="s">
        <v>576</v>
      </c>
      <c r="C172" t="s">
        <v>576</v>
      </c>
      <c r="D172" s="6" t="s">
        <v>305</v>
      </c>
      <c r="E172">
        <f t="shared" ca="1" si="18"/>
        <v>24</v>
      </c>
      <c r="F172" s="25">
        <v>37295</v>
      </c>
      <c r="G172" s="20">
        <v>44377</v>
      </c>
      <c r="H172" s="20">
        <v>46203</v>
      </c>
      <c r="I172" s="17">
        <v>400000</v>
      </c>
      <c r="J172" t="s">
        <v>357</v>
      </c>
      <c r="K172" s="6" t="s">
        <v>499</v>
      </c>
      <c r="L172">
        <v>0</v>
      </c>
      <c r="M172">
        <v>0</v>
      </c>
      <c r="N172" s="17">
        <v>6000000</v>
      </c>
      <c r="O172" s="24">
        <f t="shared" si="19"/>
        <v>21000000</v>
      </c>
      <c r="P172" t="s">
        <v>493</v>
      </c>
      <c r="Q172">
        <f t="shared" ca="1" si="20"/>
        <v>160000</v>
      </c>
      <c r="R172" t="s">
        <v>503</v>
      </c>
      <c r="S172">
        <v>1.86</v>
      </c>
      <c r="T172" s="20">
        <f t="shared" ca="1" si="21"/>
        <v>46296</v>
      </c>
      <c r="U172">
        <f ca="1">_xlfn.DAYS(H172,T172)</f>
        <v>-93</v>
      </c>
      <c r="V172" t="str">
        <f t="shared" ca="1" si="22"/>
        <v>Pre contrato</v>
      </c>
      <c r="W172" s="34">
        <f t="shared" si="23"/>
        <v>2400000</v>
      </c>
      <c r="X172" s="34">
        <f t="shared" si="24"/>
        <v>5200000</v>
      </c>
    </row>
    <row r="173" spans="1:24">
      <c r="A173" t="s">
        <v>601</v>
      </c>
      <c r="B173" t="s">
        <v>576</v>
      </c>
      <c r="C173" t="s">
        <v>576</v>
      </c>
      <c r="D173" s="6" t="s">
        <v>322</v>
      </c>
      <c r="E173">
        <f t="shared" ca="1" si="18"/>
        <v>29</v>
      </c>
      <c r="F173" s="22">
        <v>35429</v>
      </c>
      <c r="G173" s="20">
        <v>45327</v>
      </c>
      <c r="H173" s="20">
        <v>46203</v>
      </c>
      <c r="I173" s="17">
        <v>380000</v>
      </c>
      <c r="J173" t="s">
        <v>602</v>
      </c>
      <c r="K173" s="6" t="s">
        <v>499</v>
      </c>
      <c r="L173">
        <v>0</v>
      </c>
      <c r="M173">
        <v>0</v>
      </c>
      <c r="N173" s="17">
        <v>3500000</v>
      </c>
      <c r="O173" s="24">
        <f t="shared" si="19"/>
        <v>12250000</v>
      </c>
      <c r="P173" t="s">
        <v>493</v>
      </c>
      <c r="Q173">
        <f t="shared" ca="1" si="20"/>
        <v>120000</v>
      </c>
      <c r="R173" t="s">
        <v>503</v>
      </c>
      <c r="S173">
        <v>1.73</v>
      </c>
      <c r="T173" s="20">
        <f t="shared" ca="1" si="21"/>
        <v>46296</v>
      </c>
      <c r="U173">
        <f ca="1">_xlfn.DAYS(H172,T172)</f>
        <v>-93</v>
      </c>
      <c r="V173" t="str">
        <f t="shared" ca="1" si="22"/>
        <v>Pre contrato</v>
      </c>
      <c r="W173" s="34">
        <f t="shared" si="23"/>
        <v>2280000</v>
      </c>
      <c r="X173" s="34">
        <f t="shared" si="24"/>
        <v>4940000</v>
      </c>
    </row>
    <row r="174" spans="1:24">
      <c r="A174" t="s">
        <v>603</v>
      </c>
      <c r="B174" t="s">
        <v>576</v>
      </c>
      <c r="C174" t="s">
        <v>576</v>
      </c>
      <c r="D174" s="6" t="s">
        <v>604</v>
      </c>
      <c r="E174">
        <f t="shared" ca="1" si="18"/>
        <v>30</v>
      </c>
      <c r="F174" s="20">
        <v>35096</v>
      </c>
      <c r="G174" s="20">
        <v>45537</v>
      </c>
      <c r="H174" s="20">
        <v>46934</v>
      </c>
      <c r="I174" s="17">
        <v>320000</v>
      </c>
      <c r="J174" t="s">
        <v>605</v>
      </c>
      <c r="K174" s="6" t="s">
        <v>499</v>
      </c>
      <c r="L174">
        <v>0</v>
      </c>
      <c r="M174">
        <v>0</v>
      </c>
      <c r="N174" s="17">
        <v>4000000</v>
      </c>
      <c r="O174" s="24">
        <f t="shared" si="19"/>
        <v>14000000</v>
      </c>
      <c r="P174" t="s">
        <v>493</v>
      </c>
      <c r="Q174">
        <f t="shared" ca="1" si="20"/>
        <v>120000</v>
      </c>
      <c r="R174" t="s">
        <v>506</v>
      </c>
      <c r="S174">
        <v>1.73</v>
      </c>
      <c r="T174" s="20">
        <f t="shared" ca="1" si="21"/>
        <v>46296</v>
      </c>
      <c r="U174">
        <f ca="1">_xlfn.DAYS(H174,T174)</f>
        <v>638</v>
      </c>
      <c r="V174" t="str">
        <f t="shared" ca="1" si="22"/>
        <v>Com Contrato em vigor</v>
      </c>
      <c r="W174" s="34">
        <f t="shared" si="23"/>
        <v>1920000</v>
      </c>
      <c r="X174" s="34">
        <f t="shared" si="24"/>
        <v>4160000</v>
      </c>
    </row>
    <row r="175" spans="1:24">
      <c r="A175" t="s">
        <v>606</v>
      </c>
      <c r="B175" t="s">
        <v>576</v>
      </c>
      <c r="C175" t="s">
        <v>576</v>
      </c>
      <c r="D175" s="6" t="s">
        <v>305</v>
      </c>
      <c r="E175">
        <f t="shared" ca="1" si="18"/>
        <v>21</v>
      </c>
      <c r="F175" s="20">
        <v>38461</v>
      </c>
      <c r="G175" s="20">
        <v>45444</v>
      </c>
      <c r="H175" s="20">
        <v>46752</v>
      </c>
      <c r="I175" s="17">
        <v>375000</v>
      </c>
      <c r="J175" t="s">
        <v>357</v>
      </c>
      <c r="K175" s="6" t="s">
        <v>499</v>
      </c>
      <c r="L175">
        <v>1</v>
      </c>
      <c r="M175">
        <v>10</v>
      </c>
      <c r="N175" s="17">
        <v>1200000</v>
      </c>
      <c r="O175" s="24">
        <f t="shared" si="19"/>
        <v>4200000</v>
      </c>
      <c r="P175" t="s">
        <v>493</v>
      </c>
      <c r="Q175">
        <f t="shared" ca="1" si="20"/>
        <v>160000</v>
      </c>
      <c r="R175" t="s">
        <v>506</v>
      </c>
      <c r="S175">
        <v>1.76</v>
      </c>
      <c r="T175" s="20">
        <f t="shared" ca="1" si="21"/>
        <v>46296</v>
      </c>
      <c r="U175">
        <f ca="1">_xlfn.DAYS(H175,T175)</f>
        <v>456</v>
      </c>
      <c r="V175" t="str">
        <f t="shared" ca="1" si="22"/>
        <v>Com Contrato em vigor</v>
      </c>
      <c r="W175" s="34">
        <f t="shared" si="23"/>
        <v>2250000</v>
      </c>
      <c r="X175" s="34">
        <f t="shared" si="24"/>
        <v>4875000</v>
      </c>
    </row>
    <row r="176" spans="1:24">
      <c r="A176" t="s">
        <v>607</v>
      </c>
      <c r="B176" t="s">
        <v>576</v>
      </c>
      <c r="C176" t="s">
        <v>576</v>
      </c>
      <c r="D176" s="6" t="s">
        <v>305</v>
      </c>
      <c r="E176">
        <f t="shared" ca="1" si="18"/>
        <v>34</v>
      </c>
      <c r="F176" s="20">
        <v>33767</v>
      </c>
      <c r="G176" s="20">
        <v>45483</v>
      </c>
      <c r="H176" s="20">
        <v>45838</v>
      </c>
      <c r="I176" s="17">
        <v>950000</v>
      </c>
      <c r="J176" t="s">
        <v>608</v>
      </c>
      <c r="K176" s="6" t="s">
        <v>499</v>
      </c>
      <c r="L176">
        <v>1</v>
      </c>
      <c r="M176">
        <v>15</v>
      </c>
      <c r="N176" s="17">
        <v>10000000</v>
      </c>
      <c r="O176" s="24">
        <f t="shared" si="19"/>
        <v>35000000</v>
      </c>
      <c r="P176" t="s">
        <v>493</v>
      </c>
      <c r="Q176">
        <f t="shared" ca="1" si="20"/>
        <v>100000</v>
      </c>
      <c r="R176" t="s">
        <v>506</v>
      </c>
      <c r="S176">
        <v>1.73</v>
      </c>
      <c r="T176" s="20">
        <f t="shared" ca="1" si="21"/>
        <v>46296</v>
      </c>
      <c r="U176">
        <f ca="1">_xlfn.DAYS(H176,T176)</f>
        <v>-458</v>
      </c>
      <c r="V176" t="str">
        <f t="shared" ca="1" si="22"/>
        <v>Pre contrato</v>
      </c>
      <c r="W176" s="34">
        <f t="shared" si="23"/>
        <v>5700000</v>
      </c>
      <c r="X176" s="34">
        <f t="shared" si="24"/>
        <v>12350000</v>
      </c>
    </row>
    <row r="177" spans="1:24">
      <c r="A177" t="s">
        <v>609</v>
      </c>
      <c r="B177" t="s">
        <v>576</v>
      </c>
      <c r="C177" t="s">
        <v>576</v>
      </c>
      <c r="D177" s="6" t="s">
        <v>610</v>
      </c>
      <c r="E177">
        <f t="shared" ca="1" si="18"/>
        <v>39</v>
      </c>
      <c r="F177" s="20">
        <v>31865</v>
      </c>
      <c r="G177" s="20">
        <v>45155</v>
      </c>
      <c r="H177" s="20">
        <v>45838</v>
      </c>
      <c r="I177" s="17">
        <v>850000</v>
      </c>
      <c r="J177" t="s">
        <v>611</v>
      </c>
      <c r="K177" s="6" t="s">
        <v>499</v>
      </c>
      <c r="L177">
        <v>1</v>
      </c>
      <c r="M177">
        <v>16</v>
      </c>
      <c r="N177" s="17">
        <v>6000000</v>
      </c>
      <c r="O177" s="24">
        <f t="shared" si="19"/>
        <v>21000000</v>
      </c>
      <c r="P177" t="s">
        <v>493</v>
      </c>
      <c r="Q177">
        <f t="shared" ca="1" si="20"/>
        <v>100000</v>
      </c>
      <c r="R177" t="s">
        <v>505</v>
      </c>
      <c r="S177">
        <v>1.75</v>
      </c>
      <c r="T177" s="20">
        <f t="shared" ca="1" si="21"/>
        <v>46296</v>
      </c>
      <c r="U177">
        <f ca="1">_xlfn.DAYS(H176,T176)</f>
        <v>-458</v>
      </c>
      <c r="V177" t="str">
        <f t="shared" ca="1" si="22"/>
        <v>Pre contrato</v>
      </c>
      <c r="W177" s="34">
        <f t="shared" si="23"/>
        <v>5100000</v>
      </c>
      <c r="X177" s="34">
        <f t="shared" si="24"/>
        <v>11050000</v>
      </c>
    </row>
    <row r="178" spans="1:24">
      <c r="A178" t="s">
        <v>612</v>
      </c>
      <c r="B178" t="s">
        <v>576</v>
      </c>
      <c r="C178" t="s">
        <v>576</v>
      </c>
      <c r="D178" s="6" t="s">
        <v>305</v>
      </c>
      <c r="E178">
        <f t="shared" ca="1" si="18"/>
        <v>22</v>
      </c>
      <c r="F178" s="20">
        <v>38113</v>
      </c>
      <c r="G178" s="20">
        <v>45337</v>
      </c>
      <c r="H178" s="20">
        <v>45838</v>
      </c>
      <c r="I178" s="17">
        <v>100000</v>
      </c>
      <c r="J178" t="s">
        <v>432</v>
      </c>
      <c r="K178" s="6" t="s">
        <v>499</v>
      </c>
      <c r="L178">
        <v>1</v>
      </c>
      <c r="M178">
        <v>10</v>
      </c>
      <c r="N178" s="17">
        <v>500000</v>
      </c>
      <c r="O178" s="24">
        <f t="shared" si="19"/>
        <v>1750000</v>
      </c>
      <c r="P178" t="s">
        <v>493</v>
      </c>
      <c r="Q178">
        <f t="shared" ca="1" si="20"/>
        <v>160000</v>
      </c>
      <c r="R178" t="s">
        <v>506</v>
      </c>
      <c r="S178">
        <v>1.83</v>
      </c>
      <c r="T178" s="20">
        <f t="shared" ca="1" si="21"/>
        <v>46296</v>
      </c>
      <c r="U178">
        <f ca="1">_xlfn.DAYS(H178,T178)</f>
        <v>-458</v>
      </c>
      <c r="V178" t="str">
        <f t="shared" ca="1" si="22"/>
        <v>Pre contrato</v>
      </c>
      <c r="W178" s="34">
        <f t="shared" si="23"/>
        <v>600000</v>
      </c>
      <c r="X178" s="34">
        <f t="shared" si="24"/>
        <v>1300000</v>
      </c>
    </row>
    <row r="179" spans="1:24">
      <c r="A179" t="s">
        <v>613</v>
      </c>
      <c r="B179" t="s">
        <v>576</v>
      </c>
      <c r="C179" t="s">
        <v>576</v>
      </c>
      <c r="D179" s="6" t="s">
        <v>322</v>
      </c>
      <c r="E179">
        <f t="shared" ca="1" si="18"/>
        <v>33</v>
      </c>
      <c r="F179" s="20">
        <v>34044</v>
      </c>
      <c r="G179" s="20">
        <v>45531</v>
      </c>
      <c r="H179" s="20">
        <v>46203</v>
      </c>
      <c r="I179" s="17">
        <v>510000</v>
      </c>
      <c r="J179" t="s">
        <v>614</v>
      </c>
      <c r="K179" s="6" t="s">
        <v>500</v>
      </c>
      <c r="L179">
        <v>1</v>
      </c>
      <c r="M179">
        <v>11</v>
      </c>
      <c r="N179" s="17">
        <v>7000000</v>
      </c>
      <c r="O179" s="24">
        <f t="shared" si="19"/>
        <v>24500000</v>
      </c>
      <c r="P179" t="s">
        <v>493</v>
      </c>
      <c r="Q179">
        <f t="shared" ca="1" si="20"/>
        <v>100000</v>
      </c>
      <c r="R179" t="s">
        <v>506</v>
      </c>
      <c r="S179">
        <v>1.63</v>
      </c>
      <c r="T179" s="20">
        <f t="shared" ca="1" si="21"/>
        <v>46296</v>
      </c>
      <c r="U179">
        <f ca="1">_xlfn.DAYS(H179,T179)</f>
        <v>-93</v>
      </c>
      <c r="V179" t="str">
        <f t="shared" ca="1" si="22"/>
        <v>Pre contrato</v>
      </c>
      <c r="W179" s="34">
        <f t="shared" si="23"/>
        <v>3060000</v>
      </c>
      <c r="X179" s="34">
        <f t="shared" si="24"/>
        <v>6630000</v>
      </c>
    </row>
    <row r="180" spans="1:24">
      <c r="A180" t="s">
        <v>615</v>
      </c>
      <c r="B180" t="s">
        <v>576</v>
      </c>
      <c r="C180" t="s">
        <v>576</v>
      </c>
      <c r="D180" s="6" t="s">
        <v>318</v>
      </c>
      <c r="E180">
        <f t="shared" ca="1" si="18"/>
        <v>26</v>
      </c>
      <c r="F180" s="20">
        <v>36763</v>
      </c>
      <c r="G180" s="20">
        <v>45489</v>
      </c>
      <c r="H180" s="20">
        <v>45838</v>
      </c>
      <c r="I180" s="17">
        <v>260000</v>
      </c>
      <c r="J180" t="s">
        <v>616</v>
      </c>
      <c r="K180" s="6" t="s">
        <v>500</v>
      </c>
      <c r="L180">
        <v>0</v>
      </c>
      <c r="M180">
        <v>0</v>
      </c>
      <c r="N180" s="17">
        <v>6000000</v>
      </c>
      <c r="O180" s="24">
        <f t="shared" si="19"/>
        <v>21000000</v>
      </c>
      <c r="P180" t="s">
        <v>493</v>
      </c>
      <c r="Q180">
        <f t="shared" ca="1" si="20"/>
        <v>120000</v>
      </c>
      <c r="R180" t="s">
        <v>506</v>
      </c>
      <c r="S180">
        <v>1.74</v>
      </c>
      <c r="T180" s="20">
        <f t="shared" ca="1" si="21"/>
        <v>46296</v>
      </c>
      <c r="U180">
        <f ca="1">_xlfn.DAYS(H180,T180)</f>
        <v>-458</v>
      </c>
      <c r="V180" t="str">
        <f t="shared" ca="1" si="22"/>
        <v>Pre contrato</v>
      </c>
      <c r="W180" s="34">
        <f t="shared" si="23"/>
        <v>1560000</v>
      </c>
      <c r="X180" s="34">
        <f t="shared" si="24"/>
        <v>3380000</v>
      </c>
    </row>
    <row r="181" spans="1:24">
      <c r="A181" t="s">
        <v>617</v>
      </c>
      <c r="B181" t="s">
        <v>576</v>
      </c>
      <c r="C181" t="s">
        <v>576</v>
      </c>
      <c r="D181" s="6" t="s">
        <v>305</v>
      </c>
      <c r="E181">
        <f t="shared" ca="1" si="18"/>
        <v>30</v>
      </c>
      <c r="F181" s="20">
        <v>34989</v>
      </c>
      <c r="G181" s="20">
        <v>45302</v>
      </c>
      <c r="H181" s="20">
        <v>45657</v>
      </c>
      <c r="I181" s="17">
        <v>560000</v>
      </c>
      <c r="J181" t="s">
        <v>357</v>
      </c>
      <c r="K181" s="6" t="s">
        <v>500</v>
      </c>
      <c r="L181">
        <v>1</v>
      </c>
      <c r="M181">
        <v>30</v>
      </c>
      <c r="N181" s="17">
        <v>4000000</v>
      </c>
      <c r="O181" s="24">
        <f t="shared" si="19"/>
        <v>14000000</v>
      </c>
      <c r="P181" t="s">
        <v>493</v>
      </c>
      <c r="Q181">
        <f t="shared" ca="1" si="20"/>
        <v>120000</v>
      </c>
      <c r="R181" t="s">
        <v>506</v>
      </c>
      <c r="S181">
        <v>1.79</v>
      </c>
      <c r="T181" s="20">
        <f t="shared" ca="1" si="21"/>
        <v>46296</v>
      </c>
      <c r="U181">
        <f ca="1">_xlfn.DAYS(H180,T180)</f>
        <v>-458</v>
      </c>
      <c r="V181" t="str">
        <f t="shared" ca="1" si="22"/>
        <v>Pre contrato</v>
      </c>
      <c r="W181" s="34">
        <f t="shared" si="23"/>
        <v>3360000</v>
      </c>
      <c r="X181" s="34">
        <f t="shared" si="24"/>
        <v>7280000</v>
      </c>
    </row>
    <row r="182" spans="1:24">
      <c r="A182" t="s">
        <v>526</v>
      </c>
      <c r="B182" t="s">
        <v>576</v>
      </c>
      <c r="C182" t="s">
        <v>576</v>
      </c>
      <c r="D182" s="6" t="s">
        <v>305</v>
      </c>
      <c r="E182">
        <f t="shared" ca="1" si="18"/>
        <v>31</v>
      </c>
      <c r="F182" s="20">
        <v>34795</v>
      </c>
      <c r="G182" s="20">
        <v>45108</v>
      </c>
      <c r="H182" s="20">
        <v>46022</v>
      </c>
      <c r="I182" s="17">
        <v>160000</v>
      </c>
      <c r="J182" t="s">
        <v>527</v>
      </c>
      <c r="K182" s="6" t="s">
        <v>500</v>
      </c>
      <c r="L182">
        <v>0</v>
      </c>
      <c r="M182">
        <v>0</v>
      </c>
      <c r="N182" s="17">
        <v>700000</v>
      </c>
      <c r="O182" s="24">
        <f t="shared" si="19"/>
        <v>2450000</v>
      </c>
      <c r="P182" t="s">
        <v>493</v>
      </c>
      <c r="Q182">
        <f t="shared" ca="1" si="20"/>
        <v>100000</v>
      </c>
      <c r="R182" t="s">
        <v>503</v>
      </c>
      <c r="S182">
        <v>1.8</v>
      </c>
      <c r="T182" s="20">
        <f t="shared" ca="1" si="21"/>
        <v>46296</v>
      </c>
      <c r="U182">
        <f ca="1">_xlfn.DAYS(H182,T182)</f>
        <v>-274</v>
      </c>
      <c r="V182" t="str">
        <f t="shared" ca="1" si="22"/>
        <v>Pre contrato</v>
      </c>
      <c r="W182" s="34">
        <f t="shared" si="23"/>
        <v>960000</v>
      </c>
      <c r="X182" s="34">
        <f t="shared" si="24"/>
        <v>2080000</v>
      </c>
    </row>
    <row r="183" spans="1:24">
      <c r="A183" t="s">
        <v>618</v>
      </c>
      <c r="B183" t="s">
        <v>576</v>
      </c>
      <c r="C183" t="s">
        <v>576</v>
      </c>
      <c r="D183" s="6" t="s">
        <v>305</v>
      </c>
      <c r="E183">
        <f t="shared" ca="1" si="18"/>
        <v>25</v>
      </c>
      <c r="F183" s="20">
        <v>36805</v>
      </c>
      <c r="G183" s="20">
        <v>45315</v>
      </c>
      <c r="H183" s="20">
        <v>46752</v>
      </c>
      <c r="I183" s="17">
        <v>650000</v>
      </c>
      <c r="J183" t="s">
        <v>347</v>
      </c>
      <c r="K183" s="6" t="s">
        <v>500</v>
      </c>
      <c r="L183">
        <v>1</v>
      </c>
      <c r="M183">
        <v>14</v>
      </c>
      <c r="N183" s="17">
        <v>12000000</v>
      </c>
      <c r="O183" s="24">
        <f t="shared" si="19"/>
        <v>42000000</v>
      </c>
      <c r="P183" t="s">
        <v>497</v>
      </c>
      <c r="Q183">
        <f t="shared" ca="1" si="20"/>
        <v>120000</v>
      </c>
      <c r="R183" t="s">
        <v>503</v>
      </c>
      <c r="S183">
        <v>1.71</v>
      </c>
      <c r="T183" s="20">
        <f t="shared" ca="1" si="21"/>
        <v>46296</v>
      </c>
      <c r="U183">
        <f ca="1">_xlfn.DAYS(H183,T183)</f>
        <v>456</v>
      </c>
      <c r="V183" t="str">
        <f t="shared" ca="1" si="22"/>
        <v>Com Contrato em vigor</v>
      </c>
      <c r="W183" s="34">
        <f t="shared" si="23"/>
        <v>3900000</v>
      </c>
      <c r="X183" s="34">
        <f t="shared" si="24"/>
        <v>8450000</v>
      </c>
    </row>
    <row r="184" spans="1:24">
      <c r="A184" t="s">
        <v>619</v>
      </c>
      <c r="B184" t="s">
        <v>576</v>
      </c>
      <c r="C184" t="s">
        <v>576</v>
      </c>
      <c r="D184" s="6" t="s">
        <v>305</v>
      </c>
      <c r="E184">
        <f t="shared" ca="1" si="18"/>
        <v>33</v>
      </c>
      <c r="F184" s="20">
        <v>34081</v>
      </c>
      <c r="G184" s="20">
        <v>45147</v>
      </c>
      <c r="H184" s="20">
        <v>45663</v>
      </c>
      <c r="I184" s="17">
        <v>250000</v>
      </c>
      <c r="J184" t="s">
        <v>348</v>
      </c>
      <c r="K184" s="6" t="s">
        <v>500</v>
      </c>
      <c r="L184">
        <v>3</v>
      </c>
      <c r="M184">
        <v>31</v>
      </c>
      <c r="N184" s="17">
        <v>1400000</v>
      </c>
      <c r="O184" s="24">
        <f t="shared" si="19"/>
        <v>4900000</v>
      </c>
      <c r="P184" t="s">
        <v>493</v>
      </c>
      <c r="Q184">
        <f t="shared" ca="1" si="20"/>
        <v>100000</v>
      </c>
      <c r="R184" t="s">
        <v>503</v>
      </c>
      <c r="S184">
        <v>1.7</v>
      </c>
      <c r="T184" s="20">
        <f t="shared" ca="1" si="21"/>
        <v>46296</v>
      </c>
      <c r="U184">
        <f ca="1">_xlfn.DAYS(H183,T183)</f>
        <v>456</v>
      </c>
      <c r="V184" t="str">
        <f t="shared" ca="1" si="22"/>
        <v>Com Contrato em vigor</v>
      </c>
      <c r="W184" s="34">
        <f t="shared" si="23"/>
        <v>1500000</v>
      </c>
      <c r="X184" s="34">
        <f t="shared" si="24"/>
        <v>3250000</v>
      </c>
    </row>
    <row r="185" spans="1:24">
      <c r="A185" t="s">
        <v>620</v>
      </c>
      <c r="B185" t="s">
        <v>576</v>
      </c>
      <c r="C185" t="s">
        <v>576</v>
      </c>
      <c r="D185" s="6" t="s">
        <v>305</v>
      </c>
      <c r="E185">
        <f t="shared" ca="1" si="18"/>
        <v>36</v>
      </c>
      <c r="F185" s="20">
        <v>32879</v>
      </c>
      <c r="G185" s="20">
        <v>45488</v>
      </c>
      <c r="H185" s="20">
        <v>46022</v>
      </c>
      <c r="I185" s="17">
        <v>450000</v>
      </c>
      <c r="J185" t="s">
        <v>391</v>
      </c>
      <c r="K185" s="6" t="s">
        <v>500</v>
      </c>
      <c r="L185">
        <v>1</v>
      </c>
      <c r="M185">
        <v>21</v>
      </c>
      <c r="N185" s="17">
        <v>500000</v>
      </c>
      <c r="O185" s="24">
        <f t="shared" si="19"/>
        <v>1750000</v>
      </c>
      <c r="P185" t="s">
        <v>497</v>
      </c>
      <c r="Q185">
        <f t="shared" ca="1" si="20"/>
        <v>100000</v>
      </c>
      <c r="R185" t="s">
        <v>506</v>
      </c>
      <c r="S185">
        <v>1.73</v>
      </c>
      <c r="T185" s="20">
        <f t="shared" ca="1" si="21"/>
        <v>46296</v>
      </c>
      <c r="U185">
        <f ca="1">_xlfn.DAYS(H185,T185)</f>
        <v>-274</v>
      </c>
      <c r="V185" t="str">
        <f t="shared" ca="1" si="22"/>
        <v>Pre contrato</v>
      </c>
      <c r="W185" s="34">
        <f t="shared" si="23"/>
        <v>2700000</v>
      </c>
      <c r="X185" s="34">
        <f t="shared" si="24"/>
        <v>5850000</v>
      </c>
    </row>
    <row r="186" spans="1:24">
      <c r="A186" t="s">
        <v>621</v>
      </c>
      <c r="B186" t="s">
        <v>576</v>
      </c>
      <c r="C186" t="s">
        <v>576</v>
      </c>
      <c r="D186" s="6" t="s">
        <v>305</v>
      </c>
      <c r="E186">
        <f t="shared" ca="1" si="18"/>
        <v>27</v>
      </c>
      <c r="F186" s="20">
        <v>36171</v>
      </c>
      <c r="G186" s="20">
        <v>45505</v>
      </c>
      <c r="H186" s="20">
        <v>45838</v>
      </c>
      <c r="I186" s="17">
        <v>200000</v>
      </c>
      <c r="J186" t="s">
        <v>348</v>
      </c>
      <c r="K186" s="6" t="s">
        <v>500</v>
      </c>
      <c r="L186">
        <v>1</v>
      </c>
      <c r="M186">
        <v>21</v>
      </c>
      <c r="N186" s="17">
        <v>7000000</v>
      </c>
      <c r="O186" s="24">
        <f t="shared" si="19"/>
        <v>24500000</v>
      </c>
      <c r="P186" t="s">
        <v>493</v>
      </c>
      <c r="Q186">
        <f t="shared" ca="1" si="20"/>
        <v>120000</v>
      </c>
      <c r="R186" t="s">
        <v>503</v>
      </c>
      <c r="S186">
        <v>1.84</v>
      </c>
      <c r="T186" s="20">
        <f t="shared" ca="1" si="21"/>
        <v>46296</v>
      </c>
      <c r="U186">
        <f ca="1">_xlfn.DAYS(H186,T186)</f>
        <v>-458</v>
      </c>
      <c r="V186" t="str">
        <f t="shared" ca="1" si="22"/>
        <v>Pre contrato</v>
      </c>
      <c r="W186" s="34">
        <f t="shared" si="23"/>
        <v>1200000</v>
      </c>
      <c r="X186" s="34">
        <f t="shared" si="24"/>
        <v>2600000</v>
      </c>
    </row>
    <row r="187" spans="1:24">
      <c r="A187" t="s">
        <v>622</v>
      </c>
      <c r="B187" t="s">
        <v>576</v>
      </c>
      <c r="C187" t="s">
        <v>576</v>
      </c>
      <c r="D187" s="6" t="s">
        <v>305</v>
      </c>
      <c r="E187">
        <f t="shared" ca="1" si="18"/>
        <v>37</v>
      </c>
      <c r="F187" s="20">
        <v>32431</v>
      </c>
      <c r="G187" s="20">
        <v>45140</v>
      </c>
      <c r="H187" s="20">
        <v>46022</v>
      </c>
      <c r="I187" s="17">
        <v>350000</v>
      </c>
      <c r="J187" t="s">
        <v>359</v>
      </c>
      <c r="K187" s="6" t="s">
        <v>500</v>
      </c>
      <c r="L187">
        <v>1</v>
      </c>
      <c r="M187">
        <v>16</v>
      </c>
      <c r="N187" s="17">
        <v>1700000</v>
      </c>
      <c r="O187" s="24">
        <f t="shared" si="19"/>
        <v>5950000</v>
      </c>
      <c r="P187" t="s">
        <v>493</v>
      </c>
      <c r="Q187">
        <f t="shared" ca="1" si="20"/>
        <v>100000</v>
      </c>
      <c r="R187" t="s">
        <v>506</v>
      </c>
      <c r="S187">
        <v>1.87</v>
      </c>
      <c r="T187" s="20">
        <f t="shared" ca="1" si="21"/>
        <v>46296</v>
      </c>
      <c r="U187">
        <f ca="1">_xlfn.DAYS(H187,T187)</f>
        <v>-274</v>
      </c>
      <c r="V187" t="str">
        <f t="shared" ca="1" si="22"/>
        <v>Pre contrato</v>
      </c>
      <c r="W187" s="34">
        <f t="shared" si="23"/>
        <v>2100000</v>
      </c>
      <c r="X187" s="34">
        <f t="shared" si="24"/>
        <v>4550000</v>
      </c>
    </row>
    <row r="188" spans="1:24">
      <c r="A188" t="s">
        <v>294</v>
      </c>
      <c r="B188" t="s">
        <v>343</v>
      </c>
      <c r="C188" s="6" t="s">
        <v>343</v>
      </c>
      <c r="D188" s="6" t="s">
        <v>305</v>
      </c>
      <c r="E188">
        <f t="shared" ca="1" si="18"/>
        <v>27</v>
      </c>
      <c r="F188" s="22">
        <v>36227</v>
      </c>
      <c r="G188" s="20">
        <v>44228</v>
      </c>
      <c r="H188" s="20">
        <v>46022</v>
      </c>
      <c r="I188" s="17">
        <v>75000</v>
      </c>
      <c r="J188" t="s">
        <v>486</v>
      </c>
      <c r="K188" s="6" t="s">
        <v>495</v>
      </c>
      <c r="L188">
        <v>0</v>
      </c>
      <c r="M188">
        <v>0</v>
      </c>
      <c r="N188" s="17">
        <v>120000</v>
      </c>
      <c r="O188" s="24">
        <f t="shared" si="19"/>
        <v>420000</v>
      </c>
      <c r="P188" t="s">
        <v>493</v>
      </c>
      <c r="Q188">
        <f t="shared" ca="1" si="20"/>
        <v>120000</v>
      </c>
      <c r="R188" t="s">
        <v>503</v>
      </c>
      <c r="S188">
        <v>1.87</v>
      </c>
      <c r="T188" s="20">
        <f t="shared" ca="1" si="21"/>
        <v>46296</v>
      </c>
      <c r="U188">
        <f ca="1">_xlfn.DAYS(H187,T187)</f>
        <v>-274</v>
      </c>
      <c r="V188" t="str">
        <f t="shared" ca="1" si="22"/>
        <v>Pre contrato</v>
      </c>
      <c r="W188" s="34">
        <f t="shared" si="23"/>
        <v>450000</v>
      </c>
      <c r="X188" s="34">
        <f t="shared" si="24"/>
        <v>975000</v>
      </c>
    </row>
    <row r="189" spans="1:24">
      <c r="A189" t="s">
        <v>295</v>
      </c>
      <c r="B189" t="s">
        <v>343</v>
      </c>
      <c r="C189" s="6" t="s">
        <v>343</v>
      </c>
      <c r="D189" s="6" t="s">
        <v>305</v>
      </c>
      <c r="E189">
        <f t="shared" ca="1" si="18"/>
        <v>33</v>
      </c>
      <c r="F189" s="20">
        <v>34038</v>
      </c>
      <c r="G189" s="20">
        <v>44238</v>
      </c>
      <c r="H189" s="20">
        <v>46022</v>
      </c>
      <c r="I189" s="17">
        <v>50000</v>
      </c>
      <c r="J189" s="23" t="s">
        <v>458</v>
      </c>
      <c r="K189" s="6" t="s">
        <v>495</v>
      </c>
      <c r="L189">
        <v>0</v>
      </c>
      <c r="M189">
        <v>0</v>
      </c>
      <c r="N189" s="17">
        <v>75000</v>
      </c>
      <c r="O189" s="24">
        <f t="shared" si="19"/>
        <v>262500</v>
      </c>
      <c r="P189" t="s">
        <v>493</v>
      </c>
      <c r="Q189">
        <f t="shared" ca="1" si="20"/>
        <v>100000</v>
      </c>
      <c r="R189" t="s">
        <v>503</v>
      </c>
      <c r="S189">
        <v>1.87</v>
      </c>
      <c r="T189" s="20">
        <f t="shared" ca="1" si="21"/>
        <v>46296</v>
      </c>
      <c r="U189">
        <f ca="1">_xlfn.DAYS(H189,T189)</f>
        <v>-274</v>
      </c>
      <c r="V189" t="str">
        <f t="shared" ca="1" si="22"/>
        <v>Pre contrato</v>
      </c>
      <c r="W189" s="34">
        <f t="shared" si="23"/>
        <v>300000</v>
      </c>
      <c r="X189" s="34">
        <f t="shared" si="24"/>
        <v>650000</v>
      </c>
    </row>
    <row r="190" spans="1:24">
      <c r="A190" t="s">
        <v>296</v>
      </c>
      <c r="B190" t="s">
        <v>343</v>
      </c>
      <c r="C190" s="6" t="s">
        <v>343</v>
      </c>
      <c r="D190" s="6" t="s">
        <v>305</v>
      </c>
      <c r="E190">
        <f t="shared" ca="1" si="18"/>
        <v>31</v>
      </c>
      <c r="F190" s="20">
        <v>34858</v>
      </c>
      <c r="G190" s="20">
        <v>44580</v>
      </c>
      <c r="H190" s="20">
        <v>46022</v>
      </c>
      <c r="I190" s="17">
        <v>30000</v>
      </c>
      <c r="J190" t="s">
        <v>487</v>
      </c>
      <c r="K190" s="6" t="s">
        <v>495</v>
      </c>
      <c r="L190">
        <v>0</v>
      </c>
      <c r="M190">
        <v>0</v>
      </c>
      <c r="N190" s="17">
        <v>150000</v>
      </c>
      <c r="O190" s="24">
        <f t="shared" si="19"/>
        <v>525000</v>
      </c>
      <c r="P190" t="s">
        <v>493</v>
      </c>
      <c r="Q190">
        <f t="shared" ca="1" si="20"/>
        <v>100000</v>
      </c>
      <c r="R190" t="s">
        <v>503</v>
      </c>
      <c r="S190">
        <v>1.88</v>
      </c>
      <c r="T190" s="20">
        <f t="shared" ca="1" si="21"/>
        <v>46296</v>
      </c>
      <c r="U190">
        <f ca="1">_xlfn.DAYS(H190,T190)</f>
        <v>-274</v>
      </c>
      <c r="V190" t="str">
        <f t="shared" ca="1" si="22"/>
        <v>Pre contrato</v>
      </c>
      <c r="W190" s="34">
        <f t="shared" si="23"/>
        <v>180000</v>
      </c>
      <c r="X190" s="34">
        <f t="shared" si="24"/>
        <v>390000</v>
      </c>
    </row>
    <row r="191" spans="1:24">
      <c r="A191" t="s">
        <v>297</v>
      </c>
      <c r="B191" t="s">
        <v>343</v>
      </c>
      <c r="C191" s="6" t="s">
        <v>343</v>
      </c>
      <c r="D191" s="6" t="s">
        <v>305</v>
      </c>
      <c r="E191">
        <f t="shared" ca="1" si="18"/>
        <v>32</v>
      </c>
      <c r="F191" s="20">
        <v>34367</v>
      </c>
      <c r="G191" s="20">
        <v>45118</v>
      </c>
      <c r="H191" s="20">
        <v>46387</v>
      </c>
      <c r="I191" s="17">
        <v>45000</v>
      </c>
      <c r="J191" t="s">
        <v>488</v>
      </c>
      <c r="K191" s="6" t="s">
        <v>492</v>
      </c>
      <c r="L191">
        <v>0</v>
      </c>
      <c r="M191">
        <v>0</v>
      </c>
      <c r="N191" s="17">
        <v>100000</v>
      </c>
      <c r="O191" s="24">
        <f t="shared" si="19"/>
        <v>350000</v>
      </c>
      <c r="P191" t="s">
        <v>493</v>
      </c>
      <c r="Q191">
        <f t="shared" ca="1" si="20"/>
        <v>100000</v>
      </c>
      <c r="R191" t="s">
        <v>503</v>
      </c>
      <c r="S191">
        <v>1.87</v>
      </c>
      <c r="T191" s="20">
        <f t="shared" ca="1" si="21"/>
        <v>46296</v>
      </c>
      <c r="U191">
        <f ca="1">_xlfn.DAYS(H191,T191)</f>
        <v>91</v>
      </c>
      <c r="V191" t="str">
        <f t="shared" ca="1" si="22"/>
        <v>Pre contrato</v>
      </c>
      <c r="W191" s="34">
        <f t="shared" si="23"/>
        <v>270000</v>
      </c>
      <c r="X191" s="34">
        <f t="shared" si="24"/>
        <v>585000</v>
      </c>
    </row>
    <row r="192" spans="1:24">
      <c r="A192" t="s">
        <v>298</v>
      </c>
      <c r="B192" t="s">
        <v>343</v>
      </c>
      <c r="C192" s="6" t="s">
        <v>343</v>
      </c>
      <c r="D192" s="6" t="s">
        <v>307</v>
      </c>
      <c r="E192">
        <f t="shared" ca="1" si="18"/>
        <v>33</v>
      </c>
      <c r="F192" s="20">
        <v>34046</v>
      </c>
      <c r="G192" s="20">
        <v>45331</v>
      </c>
      <c r="H192" s="20">
        <v>45657</v>
      </c>
      <c r="I192" s="17">
        <v>30000</v>
      </c>
      <c r="J192" t="s">
        <v>489</v>
      </c>
      <c r="K192" s="6" t="s">
        <v>492</v>
      </c>
      <c r="L192">
        <v>0</v>
      </c>
      <c r="M192">
        <v>0</v>
      </c>
      <c r="N192" s="17">
        <v>200000</v>
      </c>
      <c r="O192" s="24">
        <f t="shared" si="19"/>
        <v>700000</v>
      </c>
      <c r="P192" t="s">
        <v>493</v>
      </c>
      <c r="Q192">
        <f t="shared" ca="1" si="20"/>
        <v>100000</v>
      </c>
      <c r="R192" t="s">
        <v>503</v>
      </c>
      <c r="S192">
        <v>1.9</v>
      </c>
      <c r="T192" s="20">
        <f t="shared" ca="1" si="21"/>
        <v>46296</v>
      </c>
      <c r="U192">
        <f ca="1">_xlfn.DAYS(H191,T191)</f>
        <v>91</v>
      </c>
      <c r="V192" t="str">
        <f t="shared" ca="1" si="22"/>
        <v>Pre contrato</v>
      </c>
      <c r="W192" s="34">
        <f t="shared" si="23"/>
        <v>180000</v>
      </c>
      <c r="X192" s="34">
        <f t="shared" si="24"/>
        <v>390000</v>
      </c>
    </row>
    <row r="193" spans="1:24">
      <c r="A193" t="s">
        <v>299</v>
      </c>
      <c r="B193" t="s">
        <v>343</v>
      </c>
      <c r="C193" s="6" t="s">
        <v>343</v>
      </c>
      <c r="D193" s="6" t="s">
        <v>305</v>
      </c>
      <c r="E193">
        <f t="shared" ca="1" si="18"/>
        <v>39</v>
      </c>
      <c r="F193" s="20">
        <v>31846</v>
      </c>
      <c r="G193" s="20">
        <v>44337</v>
      </c>
      <c r="H193" s="20">
        <v>45649</v>
      </c>
      <c r="I193" s="17">
        <v>35000</v>
      </c>
      <c r="J193" t="s">
        <v>348</v>
      </c>
      <c r="K193" s="6" t="s">
        <v>492</v>
      </c>
      <c r="L193">
        <v>0</v>
      </c>
      <c r="M193">
        <v>0</v>
      </c>
      <c r="N193" s="17">
        <v>150000</v>
      </c>
      <c r="O193" s="24">
        <f t="shared" si="19"/>
        <v>525000</v>
      </c>
      <c r="P193" t="s">
        <v>493</v>
      </c>
      <c r="Q193">
        <f t="shared" ca="1" si="20"/>
        <v>100000</v>
      </c>
      <c r="R193" t="s">
        <v>503</v>
      </c>
      <c r="S193">
        <v>1.87</v>
      </c>
      <c r="T193" s="20">
        <f t="shared" ca="1" si="21"/>
        <v>46296</v>
      </c>
      <c r="U193">
        <f ca="1">_xlfn.DAYS(H193,T193)</f>
        <v>-647</v>
      </c>
      <c r="V193" t="str">
        <f t="shared" ca="1" si="22"/>
        <v>Pre contrato</v>
      </c>
      <c r="W193" s="34">
        <f t="shared" si="23"/>
        <v>210000</v>
      </c>
      <c r="X193" s="34">
        <f t="shared" si="24"/>
        <v>455000</v>
      </c>
    </row>
    <row r="194" spans="1:24">
      <c r="A194" t="s">
        <v>300</v>
      </c>
      <c r="B194" t="s">
        <v>343</v>
      </c>
      <c r="C194" s="6" t="s">
        <v>343</v>
      </c>
      <c r="D194" s="6" t="s">
        <v>305</v>
      </c>
      <c r="E194">
        <f t="shared" ref="E194:E257" ca="1" si="25">DATEDIF(F194,TODAY(),"Y")</f>
        <v>35</v>
      </c>
      <c r="F194" s="20">
        <v>33471</v>
      </c>
      <c r="G194" s="20">
        <v>45331</v>
      </c>
      <c r="H194" s="20">
        <v>45649</v>
      </c>
      <c r="I194" s="17">
        <v>30000</v>
      </c>
      <c r="J194" t="s">
        <v>490</v>
      </c>
      <c r="K194" s="6" t="s">
        <v>492</v>
      </c>
      <c r="L194">
        <v>0</v>
      </c>
      <c r="M194">
        <v>0</v>
      </c>
      <c r="N194" s="17">
        <v>100000</v>
      </c>
      <c r="O194" s="24">
        <f t="shared" ref="O194:O257" si="26">N194*3.5</f>
        <v>350000</v>
      </c>
      <c r="P194" t="s">
        <v>493</v>
      </c>
      <c r="Q194">
        <f t="shared" ref="Q194:Q257" ca="1" si="27">IF(E194&gt;30,100000,IF(E194&gt;24,120000,IF(E194&gt;16,160000)))</f>
        <v>100000</v>
      </c>
      <c r="R194" t="s">
        <v>503</v>
      </c>
      <c r="S194">
        <v>1.88</v>
      </c>
      <c r="T194" s="20">
        <f t="shared" ref="T194:T257" ca="1" si="28">TODAY()</f>
        <v>46296</v>
      </c>
      <c r="U194">
        <f ca="1">_xlfn.DAYS(H194,T194)</f>
        <v>-647</v>
      </c>
      <c r="V194" t="str">
        <f t="shared" ref="V194:V257" ca="1" si="29">IF(U194&lt;180, "Pre contrato","Com Contrato em vigor")</f>
        <v>Pre contrato</v>
      </c>
      <c r="W194" s="34">
        <f t="shared" si="23"/>
        <v>180000</v>
      </c>
      <c r="X194" s="34">
        <f t="shared" si="24"/>
        <v>390000</v>
      </c>
    </row>
    <row r="195" spans="1:24">
      <c r="A195" t="s">
        <v>301</v>
      </c>
      <c r="B195" t="s">
        <v>343</v>
      </c>
      <c r="C195" s="6" t="s">
        <v>343</v>
      </c>
      <c r="D195" t="s">
        <v>344</v>
      </c>
      <c r="E195">
        <f t="shared" ca="1" si="25"/>
        <v>34</v>
      </c>
      <c r="F195" s="20">
        <v>33841</v>
      </c>
      <c r="G195" s="20">
        <v>45323</v>
      </c>
      <c r="H195" s="20">
        <v>45657</v>
      </c>
      <c r="I195" s="17">
        <v>100000</v>
      </c>
      <c r="J195" t="s">
        <v>491</v>
      </c>
      <c r="K195" s="6" t="s">
        <v>496</v>
      </c>
      <c r="L195">
        <v>0</v>
      </c>
      <c r="M195">
        <v>0</v>
      </c>
      <c r="N195" s="17">
        <v>150000</v>
      </c>
      <c r="O195" s="24">
        <f t="shared" si="26"/>
        <v>525000</v>
      </c>
      <c r="P195" t="s">
        <v>497</v>
      </c>
      <c r="Q195">
        <f t="shared" ca="1" si="27"/>
        <v>100000</v>
      </c>
      <c r="R195" t="s">
        <v>503</v>
      </c>
      <c r="S195">
        <v>1.75</v>
      </c>
      <c r="T195" s="20">
        <f t="shared" ca="1" si="28"/>
        <v>46296</v>
      </c>
      <c r="U195">
        <f ca="1">_xlfn.DAYS(H195,T195)</f>
        <v>-639</v>
      </c>
      <c r="V195" t="str">
        <f t="shared" ca="1" si="29"/>
        <v>Pre contrato</v>
      </c>
      <c r="W195" s="34">
        <f t="shared" ref="W195:W258" si="30">I195*6</f>
        <v>600000</v>
      </c>
      <c r="X195" s="34">
        <f t="shared" ref="X195:X258" si="31">I195*13</f>
        <v>1300000</v>
      </c>
    </row>
    <row r="196" spans="1:24">
      <c r="A196" t="s">
        <v>302</v>
      </c>
      <c r="B196" t="s">
        <v>343</v>
      </c>
      <c r="C196" s="6" t="s">
        <v>343</v>
      </c>
      <c r="D196" s="6" t="s">
        <v>305</v>
      </c>
      <c r="E196">
        <f t="shared" ca="1" si="25"/>
        <v>31</v>
      </c>
      <c r="F196" s="20">
        <v>34731</v>
      </c>
      <c r="G196" s="20">
        <v>44613</v>
      </c>
      <c r="H196" s="20">
        <v>46022</v>
      </c>
      <c r="I196" s="17">
        <v>120000</v>
      </c>
      <c r="J196" t="s">
        <v>443</v>
      </c>
      <c r="K196" s="6" t="s">
        <v>496</v>
      </c>
      <c r="L196">
        <v>0</v>
      </c>
      <c r="M196">
        <v>0</v>
      </c>
      <c r="N196" s="17">
        <v>250000</v>
      </c>
      <c r="O196" s="24">
        <f t="shared" si="26"/>
        <v>875000</v>
      </c>
      <c r="P196" t="s">
        <v>497</v>
      </c>
      <c r="Q196">
        <f t="shared" ca="1" si="27"/>
        <v>100000</v>
      </c>
      <c r="R196" t="s">
        <v>503</v>
      </c>
      <c r="S196">
        <v>1.77</v>
      </c>
      <c r="T196" s="20">
        <f t="shared" ca="1" si="28"/>
        <v>46296</v>
      </c>
      <c r="U196">
        <f ca="1">_xlfn.DAYS(H195,T195)</f>
        <v>-639</v>
      </c>
      <c r="V196" t="str">
        <f t="shared" ca="1" si="29"/>
        <v>Pre contrato</v>
      </c>
      <c r="W196" s="34">
        <f t="shared" si="30"/>
        <v>720000</v>
      </c>
      <c r="X196" s="34">
        <f t="shared" si="31"/>
        <v>1560000</v>
      </c>
    </row>
    <row r="197" spans="1:24">
      <c r="A197" t="s">
        <v>303</v>
      </c>
      <c r="B197" t="s">
        <v>343</v>
      </c>
      <c r="C197" s="6" t="s">
        <v>343</v>
      </c>
      <c r="D197" s="6" t="s">
        <v>305</v>
      </c>
      <c r="E197">
        <f t="shared" ca="1" si="25"/>
        <v>29</v>
      </c>
      <c r="F197" s="20">
        <v>35580</v>
      </c>
      <c r="G197" s="20">
        <v>44927</v>
      </c>
      <c r="H197" s="20">
        <v>46022</v>
      </c>
      <c r="I197" s="17">
        <v>68000</v>
      </c>
      <c r="J197" t="s">
        <v>373</v>
      </c>
      <c r="K197" s="6" t="s">
        <v>498</v>
      </c>
      <c r="L197">
        <v>0</v>
      </c>
      <c r="M197">
        <v>0</v>
      </c>
      <c r="N197" s="17">
        <v>300000</v>
      </c>
      <c r="O197" s="24">
        <f t="shared" si="26"/>
        <v>1050000</v>
      </c>
      <c r="P197" t="s">
        <v>493</v>
      </c>
      <c r="Q197">
        <f t="shared" ca="1" si="27"/>
        <v>120000</v>
      </c>
      <c r="R197" t="s">
        <v>506</v>
      </c>
      <c r="S197">
        <v>1.75</v>
      </c>
      <c r="T197" s="20">
        <f t="shared" ca="1" si="28"/>
        <v>46296</v>
      </c>
      <c r="U197">
        <f ca="1">_xlfn.DAYS(H197,T197)</f>
        <v>-274</v>
      </c>
      <c r="V197" t="str">
        <f t="shared" ca="1" si="29"/>
        <v>Pre contrato</v>
      </c>
      <c r="W197" s="34">
        <f t="shared" si="30"/>
        <v>408000</v>
      </c>
      <c r="X197" s="34">
        <f t="shared" si="31"/>
        <v>884000</v>
      </c>
    </row>
    <row r="198" spans="1:24">
      <c r="A198" t="s">
        <v>509</v>
      </c>
      <c r="B198" t="s">
        <v>343</v>
      </c>
      <c r="C198" s="6" t="s">
        <v>343</v>
      </c>
      <c r="D198" s="6" t="s">
        <v>318</v>
      </c>
      <c r="E198">
        <f t="shared" ca="1" si="25"/>
        <v>34</v>
      </c>
      <c r="F198" s="20">
        <v>33658</v>
      </c>
      <c r="G198" s="20">
        <v>45474</v>
      </c>
      <c r="H198" s="20">
        <v>46203</v>
      </c>
      <c r="I198" s="17">
        <v>50000</v>
      </c>
      <c r="J198" t="s">
        <v>510</v>
      </c>
      <c r="K198" s="6" t="s">
        <v>498</v>
      </c>
      <c r="L198">
        <v>0</v>
      </c>
      <c r="M198">
        <v>0</v>
      </c>
      <c r="N198" s="17">
        <v>150000</v>
      </c>
      <c r="O198" s="24">
        <f t="shared" si="26"/>
        <v>525000</v>
      </c>
      <c r="P198" t="s">
        <v>493</v>
      </c>
      <c r="Q198">
        <f t="shared" ca="1" si="27"/>
        <v>100000</v>
      </c>
      <c r="R198" t="s">
        <v>503</v>
      </c>
      <c r="S198">
        <v>1.7</v>
      </c>
      <c r="T198" s="20">
        <f t="shared" ca="1" si="28"/>
        <v>46296</v>
      </c>
      <c r="U198">
        <f ca="1">_xlfn.DAYS(H198,T198)</f>
        <v>-93</v>
      </c>
      <c r="V198" t="str">
        <f t="shared" ca="1" si="29"/>
        <v>Pre contrato</v>
      </c>
      <c r="W198" s="34">
        <f t="shared" si="30"/>
        <v>300000</v>
      </c>
      <c r="X198" s="34">
        <f t="shared" si="31"/>
        <v>650000</v>
      </c>
    </row>
    <row r="199" spans="1:24">
      <c r="A199" t="s">
        <v>511</v>
      </c>
      <c r="B199" t="s">
        <v>343</v>
      </c>
      <c r="C199" s="6" t="s">
        <v>343</v>
      </c>
      <c r="D199" s="6" t="s">
        <v>305</v>
      </c>
      <c r="E199">
        <f t="shared" ca="1" si="25"/>
        <v>34</v>
      </c>
      <c r="F199" s="20">
        <v>33841</v>
      </c>
      <c r="G199" s="20">
        <v>45033</v>
      </c>
      <c r="H199" s="20">
        <v>46022</v>
      </c>
      <c r="I199" s="17">
        <v>60000</v>
      </c>
      <c r="J199" t="s">
        <v>348</v>
      </c>
      <c r="K199" s="6" t="s">
        <v>498</v>
      </c>
      <c r="L199">
        <v>0</v>
      </c>
      <c r="M199">
        <v>0</v>
      </c>
      <c r="N199" s="17">
        <v>100000</v>
      </c>
      <c r="O199" s="24">
        <f t="shared" si="26"/>
        <v>350000</v>
      </c>
      <c r="P199" t="s">
        <v>493</v>
      </c>
      <c r="Q199">
        <f t="shared" ca="1" si="27"/>
        <v>100000</v>
      </c>
      <c r="R199" t="s">
        <v>503</v>
      </c>
      <c r="S199">
        <v>1.79</v>
      </c>
      <c r="T199" s="20">
        <f t="shared" ca="1" si="28"/>
        <v>46296</v>
      </c>
      <c r="U199">
        <f ca="1">_xlfn.DAYS(H199,T199)</f>
        <v>-274</v>
      </c>
      <c r="V199" t="str">
        <f t="shared" ca="1" si="29"/>
        <v>Pre contrato</v>
      </c>
      <c r="W199" s="34">
        <f t="shared" si="30"/>
        <v>360000</v>
      </c>
      <c r="X199" s="34">
        <f t="shared" si="31"/>
        <v>780000</v>
      </c>
    </row>
    <row r="200" spans="1:24">
      <c r="A200" t="s">
        <v>512</v>
      </c>
      <c r="B200" t="s">
        <v>343</v>
      </c>
      <c r="C200" s="6" t="s">
        <v>343</v>
      </c>
      <c r="D200" s="6" t="s">
        <v>305</v>
      </c>
      <c r="E200">
        <f t="shared" ca="1" si="25"/>
        <v>26</v>
      </c>
      <c r="F200" s="20">
        <v>36793</v>
      </c>
      <c r="G200" s="20">
        <v>44291</v>
      </c>
      <c r="H200" s="20">
        <v>45657</v>
      </c>
      <c r="I200" s="17">
        <v>60000</v>
      </c>
      <c r="J200" t="s">
        <v>443</v>
      </c>
      <c r="K200" s="6" t="s">
        <v>498</v>
      </c>
      <c r="L200">
        <v>0</v>
      </c>
      <c r="M200">
        <v>0</v>
      </c>
      <c r="N200" s="17">
        <v>120000</v>
      </c>
      <c r="O200" s="24">
        <f t="shared" si="26"/>
        <v>420000</v>
      </c>
      <c r="P200" t="s">
        <v>493</v>
      </c>
      <c r="Q200">
        <f t="shared" ca="1" si="27"/>
        <v>120000</v>
      </c>
      <c r="R200" t="s">
        <v>503</v>
      </c>
      <c r="S200">
        <v>1.8</v>
      </c>
      <c r="T200" s="20">
        <f t="shared" ca="1" si="28"/>
        <v>46296</v>
      </c>
      <c r="U200">
        <f ca="1">_xlfn.DAYS(H199,T199)</f>
        <v>-274</v>
      </c>
      <c r="V200" t="str">
        <f t="shared" ca="1" si="29"/>
        <v>Pre contrato</v>
      </c>
      <c r="W200" s="34">
        <f t="shared" si="30"/>
        <v>360000</v>
      </c>
      <c r="X200" s="34">
        <f t="shared" si="31"/>
        <v>780000</v>
      </c>
    </row>
    <row r="201" spans="1:24">
      <c r="A201" t="s">
        <v>513</v>
      </c>
      <c r="B201" t="s">
        <v>343</v>
      </c>
      <c r="C201" s="6" t="s">
        <v>343</v>
      </c>
      <c r="D201" s="6" t="s">
        <v>305</v>
      </c>
      <c r="E201">
        <f t="shared" ca="1" si="25"/>
        <v>27</v>
      </c>
      <c r="F201" s="20">
        <v>36411</v>
      </c>
      <c r="G201" s="20">
        <v>44645</v>
      </c>
      <c r="H201" s="20">
        <v>46387</v>
      </c>
      <c r="I201" s="17">
        <v>50000</v>
      </c>
      <c r="J201" t="s">
        <v>514</v>
      </c>
      <c r="K201" s="6" t="s">
        <v>494</v>
      </c>
      <c r="L201">
        <v>0</v>
      </c>
      <c r="M201">
        <v>0</v>
      </c>
      <c r="N201" s="17">
        <v>3000000</v>
      </c>
      <c r="O201" s="24">
        <f t="shared" si="26"/>
        <v>10500000</v>
      </c>
      <c r="P201" t="s">
        <v>497</v>
      </c>
      <c r="Q201">
        <f t="shared" ca="1" si="27"/>
        <v>120000</v>
      </c>
      <c r="R201" t="s">
        <v>503</v>
      </c>
      <c r="S201">
        <v>1.8</v>
      </c>
      <c r="T201" s="20">
        <f t="shared" ca="1" si="28"/>
        <v>46296</v>
      </c>
      <c r="U201">
        <f ca="1">_xlfn.DAYS(H201,T201)</f>
        <v>91</v>
      </c>
      <c r="V201" t="str">
        <f t="shared" ca="1" si="29"/>
        <v>Pre contrato</v>
      </c>
      <c r="W201" s="34">
        <f t="shared" si="30"/>
        <v>300000</v>
      </c>
      <c r="X201" s="34">
        <f t="shared" si="31"/>
        <v>650000</v>
      </c>
    </row>
    <row r="202" spans="1:24">
      <c r="A202" t="s">
        <v>515</v>
      </c>
      <c r="B202" t="s">
        <v>343</v>
      </c>
      <c r="C202" s="6" t="s">
        <v>343</v>
      </c>
      <c r="D202" s="6" t="s">
        <v>305</v>
      </c>
      <c r="E202">
        <f t="shared" ca="1" si="25"/>
        <v>32</v>
      </c>
      <c r="F202" s="20">
        <v>34508</v>
      </c>
      <c r="G202" s="20">
        <v>44743</v>
      </c>
      <c r="H202" s="20">
        <v>45657</v>
      </c>
      <c r="I202" s="17">
        <v>65000</v>
      </c>
      <c r="J202" t="s">
        <v>417</v>
      </c>
      <c r="K202" s="6" t="s">
        <v>494</v>
      </c>
      <c r="L202">
        <v>0</v>
      </c>
      <c r="M202">
        <v>0</v>
      </c>
      <c r="N202" s="17">
        <v>500000</v>
      </c>
      <c r="O202" s="24">
        <f t="shared" si="26"/>
        <v>1750000</v>
      </c>
      <c r="P202" t="s">
        <v>497</v>
      </c>
      <c r="Q202">
        <f t="shared" ca="1" si="27"/>
        <v>100000</v>
      </c>
      <c r="R202" t="s">
        <v>503</v>
      </c>
      <c r="S202">
        <v>1.86</v>
      </c>
      <c r="T202" s="20">
        <f t="shared" ca="1" si="28"/>
        <v>46296</v>
      </c>
      <c r="U202">
        <f ca="1">_xlfn.DAYS(H202,T202)</f>
        <v>-639</v>
      </c>
      <c r="V202" t="str">
        <f t="shared" ca="1" si="29"/>
        <v>Pre contrato</v>
      </c>
      <c r="W202" s="34">
        <f t="shared" si="30"/>
        <v>390000</v>
      </c>
      <c r="X202" s="34">
        <f t="shared" si="31"/>
        <v>845000</v>
      </c>
    </row>
    <row r="203" spans="1:24">
      <c r="A203" t="s">
        <v>516</v>
      </c>
      <c r="B203" t="s">
        <v>343</v>
      </c>
      <c r="C203" s="6" t="s">
        <v>343</v>
      </c>
      <c r="D203" s="6" t="s">
        <v>305</v>
      </c>
      <c r="E203">
        <f t="shared" ca="1" si="25"/>
        <v>29</v>
      </c>
      <c r="F203" s="20">
        <v>35599</v>
      </c>
      <c r="G203" s="20">
        <v>45323</v>
      </c>
      <c r="H203" s="20">
        <v>45657</v>
      </c>
      <c r="I203" s="17">
        <v>40000</v>
      </c>
      <c r="J203" t="s">
        <v>402</v>
      </c>
      <c r="K203" s="6" t="s">
        <v>494</v>
      </c>
      <c r="L203">
        <v>0</v>
      </c>
      <c r="M203">
        <v>0</v>
      </c>
      <c r="N203" s="17">
        <v>500000</v>
      </c>
      <c r="O203" s="24">
        <f t="shared" si="26"/>
        <v>1750000</v>
      </c>
      <c r="P203" t="s">
        <v>493</v>
      </c>
      <c r="Q203">
        <f t="shared" ca="1" si="27"/>
        <v>120000</v>
      </c>
      <c r="R203" t="s">
        <v>503</v>
      </c>
      <c r="S203">
        <v>1.71</v>
      </c>
      <c r="T203" s="20">
        <f t="shared" ca="1" si="28"/>
        <v>46296</v>
      </c>
      <c r="U203">
        <f ca="1">_xlfn.DAYS(H203,T203)</f>
        <v>-639</v>
      </c>
      <c r="V203" t="str">
        <f t="shared" ca="1" si="29"/>
        <v>Pre contrato</v>
      </c>
      <c r="W203" s="34">
        <f t="shared" si="30"/>
        <v>240000</v>
      </c>
      <c r="X203" s="34">
        <f t="shared" si="31"/>
        <v>520000</v>
      </c>
    </row>
    <row r="204" spans="1:24">
      <c r="A204" t="s">
        <v>517</v>
      </c>
      <c r="B204" t="s">
        <v>343</v>
      </c>
      <c r="C204" s="6" t="s">
        <v>343</v>
      </c>
      <c r="D204" s="6" t="s">
        <v>305</v>
      </c>
      <c r="E204">
        <f t="shared" ca="1" si="25"/>
        <v>30</v>
      </c>
      <c r="F204" s="20">
        <v>35043</v>
      </c>
      <c r="G204" s="20">
        <v>45323</v>
      </c>
      <c r="H204" s="20">
        <v>45991</v>
      </c>
      <c r="I204" s="17">
        <v>40000</v>
      </c>
      <c r="J204" t="s">
        <v>373</v>
      </c>
      <c r="K204" s="6" t="s">
        <v>494</v>
      </c>
      <c r="L204">
        <v>0</v>
      </c>
      <c r="M204">
        <v>0</v>
      </c>
      <c r="N204" s="17">
        <v>350000</v>
      </c>
      <c r="O204" s="24">
        <f t="shared" si="26"/>
        <v>1225000</v>
      </c>
      <c r="P204" t="s">
        <v>493</v>
      </c>
      <c r="Q204">
        <f t="shared" ca="1" si="27"/>
        <v>120000</v>
      </c>
      <c r="R204" t="s">
        <v>503</v>
      </c>
      <c r="S204">
        <v>1.81</v>
      </c>
      <c r="T204" s="20">
        <f t="shared" ca="1" si="28"/>
        <v>46296</v>
      </c>
      <c r="U204">
        <f ca="1">_xlfn.DAYS(H203,T203)</f>
        <v>-639</v>
      </c>
      <c r="V204" t="str">
        <f t="shared" ca="1" si="29"/>
        <v>Pre contrato</v>
      </c>
      <c r="W204" s="34">
        <f t="shared" si="30"/>
        <v>240000</v>
      </c>
      <c r="X204" s="34">
        <f t="shared" si="31"/>
        <v>520000</v>
      </c>
    </row>
    <row r="205" spans="1:24">
      <c r="A205" t="s">
        <v>518</v>
      </c>
      <c r="B205" t="s">
        <v>343</v>
      </c>
      <c r="C205" s="6" t="s">
        <v>343</v>
      </c>
      <c r="D205" s="6" t="s">
        <v>319</v>
      </c>
      <c r="E205">
        <f t="shared" ca="1" si="25"/>
        <v>25</v>
      </c>
      <c r="F205" s="20">
        <v>36941</v>
      </c>
      <c r="G205" s="20">
        <v>44950</v>
      </c>
      <c r="H205" s="20">
        <v>46022</v>
      </c>
      <c r="I205" s="17">
        <v>75000</v>
      </c>
      <c r="J205" t="s">
        <v>422</v>
      </c>
      <c r="K205" s="6" t="s">
        <v>494</v>
      </c>
      <c r="L205">
        <v>0</v>
      </c>
      <c r="M205">
        <v>0</v>
      </c>
      <c r="N205" s="17">
        <v>350000</v>
      </c>
      <c r="O205" s="24">
        <f t="shared" si="26"/>
        <v>1225000</v>
      </c>
      <c r="P205" t="s">
        <v>493</v>
      </c>
      <c r="Q205">
        <f t="shared" ca="1" si="27"/>
        <v>120000</v>
      </c>
      <c r="R205" t="s">
        <v>503</v>
      </c>
      <c r="S205">
        <v>1.82</v>
      </c>
      <c r="T205" s="20">
        <f t="shared" ca="1" si="28"/>
        <v>46296</v>
      </c>
      <c r="U205">
        <f ca="1">_xlfn.DAYS(H205,T205)</f>
        <v>-274</v>
      </c>
      <c r="V205" t="str">
        <f t="shared" ca="1" si="29"/>
        <v>Pre contrato</v>
      </c>
      <c r="W205" s="34">
        <f t="shared" si="30"/>
        <v>450000</v>
      </c>
      <c r="X205" s="34">
        <f t="shared" si="31"/>
        <v>975000</v>
      </c>
    </row>
    <row r="206" spans="1:24">
      <c r="A206" t="s">
        <v>519</v>
      </c>
      <c r="B206" t="s">
        <v>343</v>
      </c>
      <c r="C206" s="6" t="s">
        <v>343</v>
      </c>
      <c r="D206" s="6" t="s">
        <v>305</v>
      </c>
      <c r="E206">
        <f t="shared" ca="1" si="25"/>
        <v>26</v>
      </c>
      <c r="F206" s="20">
        <v>36597</v>
      </c>
      <c r="G206" s="20">
        <v>45292</v>
      </c>
      <c r="H206" s="20">
        <v>46752</v>
      </c>
      <c r="I206" s="17">
        <v>30000</v>
      </c>
      <c r="J206" t="s">
        <v>379</v>
      </c>
      <c r="K206" s="6" t="s">
        <v>494</v>
      </c>
      <c r="L206">
        <v>0</v>
      </c>
      <c r="M206">
        <v>0</v>
      </c>
      <c r="N206" s="17">
        <v>250000</v>
      </c>
      <c r="O206" s="24">
        <f t="shared" si="26"/>
        <v>875000</v>
      </c>
      <c r="P206" t="s">
        <v>493</v>
      </c>
      <c r="Q206">
        <f t="shared" ca="1" si="27"/>
        <v>120000</v>
      </c>
      <c r="R206" t="s">
        <v>503</v>
      </c>
      <c r="S206">
        <v>1.88</v>
      </c>
      <c r="T206" s="20">
        <f t="shared" ca="1" si="28"/>
        <v>46296</v>
      </c>
      <c r="U206">
        <f ca="1">_xlfn.DAYS(H206,T206)</f>
        <v>456</v>
      </c>
      <c r="V206" t="str">
        <f t="shared" ca="1" si="29"/>
        <v>Com Contrato em vigor</v>
      </c>
      <c r="W206" s="34">
        <f t="shared" si="30"/>
        <v>180000</v>
      </c>
      <c r="X206" s="34">
        <f t="shared" si="31"/>
        <v>390000</v>
      </c>
    </row>
    <row r="207" spans="1:24">
      <c r="A207" t="s">
        <v>520</v>
      </c>
      <c r="B207" t="s">
        <v>343</v>
      </c>
      <c r="C207" s="6" t="s">
        <v>343</v>
      </c>
      <c r="D207" s="6" t="s">
        <v>305</v>
      </c>
      <c r="E207">
        <f t="shared" ca="1" si="25"/>
        <v>28</v>
      </c>
      <c r="F207" s="20">
        <v>35837</v>
      </c>
      <c r="G207" s="20">
        <v>44950</v>
      </c>
      <c r="H207" s="20">
        <v>46022</v>
      </c>
      <c r="I207" s="17">
        <v>30000</v>
      </c>
      <c r="J207" t="s">
        <v>521</v>
      </c>
      <c r="K207" s="6" t="s">
        <v>499</v>
      </c>
      <c r="L207">
        <v>0</v>
      </c>
      <c r="M207">
        <v>0</v>
      </c>
      <c r="N207" s="17">
        <v>50000</v>
      </c>
      <c r="O207" s="24">
        <f t="shared" si="26"/>
        <v>175000</v>
      </c>
      <c r="P207" t="s">
        <v>493</v>
      </c>
      <c r="Q207">
        <f t="shared" ca="1" si="27"/>
        <v>120000</v>
      </c>
      <c r="R207" t="s">
        <v>503</v>
      </c>
      <c r="S207">
        <v>1.64</v>
      </c>
      <c r="T207" s="20">
        <f t="shared" ca="1" si="28"/>
        <v>46296</v>
      </c>
      <c r="U207">
        <f ca="1">_xlfn.DAYS(H207,T207)</f>
        <v>-274</v>
      </c>
      <c r="V207" t="str">
        <f t="shared" ca="1" si="29"/>
        <v>Pre contrato</v>
      </c>
      <c r="W207" s="34">
        <f t="shared" si="30"/>
        <v>180000</v>
      </c>
      <c r="X207" s="34">
        <f t="shared" si="31"/>
        <v>390000</v>
      </c>
    </row>
    <row r="208" spans="1:24">
      <c r="A208" t="s">
        <v>522</v>
      </c>
      <c r="B208" t="s">
        <v>343</v>
      </c>
      <c r="C208" s="6" t="s">
        <v>343</v>
      </c>
      <c r="D208" s="6" t="s">
        <v>305</v>
      </c>
      <c r="E208">
        <f t="shared" ca="1" si="25"/>
        <v>36</v>
      </c>
      <c r="F208" s="20">
        <v>33075</v>
      </c>
      <c r="G208" s="20">
        <v>45292</v>
      </c>
      <c r="H208" s="20">
        <v>46752</v>
      </c>
      <c r="I208" s="17">
        <v>150000</v>
      </c>
      <c r="J208" s="15" t="s">
        <v>352</v>
      </c>
      <c r="K208" s="6" t="s">
        <v>499</v>
      </c>
      <c r="L208">
        <v>0</v>
      </c>
      <c r="M208">
        <v>0</v>
      </c>
      <c r="N208" s="17">
        <v>80000</v>
      </c>
      <c r="O208" s="24">
        <f t="shared" si="26"/>
        <v>280000</v>
      </c>
      <c r="P208" t="s">
        <v>493</v>
      </c>
      <c r="Q208">
        <f t="shared" ca="1" si="27"/>
        <v>100000</v>
      </c>
      <c r="R208" t="s">
        <v>503</v>
      </c>
      <c r="S208">
        <v>1.74</v>
      </c>
      <c r="T208" s="20">
        <f t="shared" ca="1" si="28"/>
        <v>46296</v>
      </c>
      <c r="U208">
        <f ca="1">_xlfn.DAYS(H207,T207)</f>
        <v>-274</v>
      </c>
      <c r="V208" t="str">
        <f t="shared" ca="1" si="29"/>
        <v>Pre contrato</v>
      </c>
      <c r="W208" s="34">
        <f t="shared" si="30"/>
        <v>900000</v>
      </c>
      <c r="X208" s="34">
        <f t="shared" si="31"/>
        <v>1950000</v>
      </c>
    </row>
    <row r="209" spans="1:24">
      <c r="A209" t="s">
        <v>523</v>
      </c>
      <c r="B209" t="s">
        <v>343</v>
      </c>
      <c r="C209" s="6" t="s">
        <v>343</v>
      </c>
      <c r="D209" s="6" t="s">
        <v>305</v>
      </c>
      <c r="E209">
        <f t="shared" ca="1" si="25"/>
        <v>35</v>
      </c>
      <c r="F209" s="20">
        <v>33281</v>
      </c>
      <c r="G209" s="20">
        <v>44342</v>
      </c>
      <c r="H209" s="20">
        <v>46022</v>
      </c>
      <c r="I209" s="17">
        <v>67000</v>
      </c>
      <c r="J209" t="s">
        <v>348</v>
      </c>
      <c r="K209" s="6" t="s">
        <v>499</v>
      </c>
      <c r="L209">
        <v>0</v>
      </c>
      <c r="M209">
        <v>0</v>
      </c>
      <c r="N209" s="17">
        <v>200000</v>
      </c>
      <c r="O209" s="24">
        <f t="shared" si="26"/>
        <v>700000</v>
      </c>
      <c r="P209" t="s">
        <v>493</v>
      </c>
      <c r="Q209">
        <f t="shared" ca="1" si="27"/>
        <v>100000</v>
      </c>
      <c r="R209" t="s">
        <v>503</v>
      </c>
      <c r="S209">
        <v>1.78</v>
      </c>
      <c r="T209" s="20">
        <f t="shared" ca="1" si="28"/>
        <v>46296</v>
      </c>
      <c r="U209">
        <f ca="1">_xlfn.DAYS(H209,T209)</f>
        <v>-274</v>
      </c>
      <c r="V209" t="str">
        <f t="shared" ca="1" si="29"/>
        <v>Pre contrato</v>
      </c>
      <c r="W209" s="34">
        <f t="shared" si="30"/>
        <v>402000</v>
      </c>
      <c r="X209" s="34">
        <f t="shared" si="31"/>
        <v>871000</v>
      </c>
    </row>
    <row r="210" spans="1:24">
      <c r="A210" t="s">
        <v>524</v>
      </c>
      <c r="B210" t="s">
        <v>343</v>
      </c>
      <c r="C210" s="6" t="s">
        <v>343</v>
      </c>
      <c r="D210" s="6" t="s">
        <v>305</v>
      </c>
      <c r="E210">
        <f t="shared" ca="1" si="25"/>
        <v>32</v>
      </c>
      <c r="F210" s="20">
        <v>34608</v>
      </c>
      <c r="G210" s="20">
        <v>45323</v>
      </c>
      <c r="H210" s="20">
        <v>45657</v>
      </c>
      <c r="I210" s="17">
        <v>100000</v>
      </c>
      <c r="J210" t="s">
        <v>525</v>
      </c>
      <c r="K210" s="6" t="s">
        <v>500</v>
      </c>
      <c r="L210">
        <v>1</v>
      </c>
      <c r="M210">
        <v>12</v>
      </c>
      <c r="N210" s="17">
        <v>1500000</v>
      </c>
      <c r="O210" s="24">
        <f t="shared" si="26"/>
        <v>5250000</v>
      </c>
      <c r="P210" t="s">
        <v>497</v>
      </c>
      <c r="Q210">
        <f t="shared" ca="1" si="27"/>
        <v>100000</v>
      </c>
      <c r="R210" t="s">
        <v>503</v>
      </c>
      <c r="S210">
        <v>1.75</v>
      </c>
      <c r="T210" s="20">
        <f t="shared" ca="1" si="28"/>
        <v>46296</v>
      </c>
      <c r="U210">
        <f ca="1">_xlfn.DAYS(H210,T210)</f>
        <v>-639</v>
      </c>
      <c r="V210" t="str">
        <f t="shared" ca="1" si="29"/>
        <v>Pre contrato</v>
      </c>
      <c r="W210" s="34">
        <f t="shared" si="30"/>
        <v>600000</v>
      </c>
      <c r="X210" s="34">
        <f t="shared" si="31"/>
        <v>1300000</v>
      </c>
    </row>
    <row r="211" spans="1:24">
      <c r="A211" t="s">
        <v>526</v>
      </c>
      <c r="B211" t="s">
        <v>343</v>
      </c>
      <c r="C211" s="6" t="s">
        <v>343</v>
      </c>
      <c r="D211" s="6" t="s">
        <v>305</v>
      </c>
      <c r="E211">
        <f t="shared" ca="1" si="25"/>
        <v>31</v>
      </c>
      <c r="F211" s="20">
        <v>34795</v>
      </c>
      <c r="G211" s="20">
        <v>45108</v>
      </c>
      <c r="H211" s="20">
        <v>46022</v>
      </c>
      <c r="I211" s="17">
        <v>50000</v>
      </c>
      <c r="J211" t="s">
        <v>527</v>
      </c>
      <c r="K211" s="6" t="s">
        <v>500</v>
      </c>
      <c r="L211">
        <v>0</v>
      </c>
      <c r="M211">
        <v>0</v>
      </c>
      <c r="N211" s="17">
        <v>160000</v>
      </c>
      <c r="O211" s="24">
        <f t="shared" si="26"/>
        <v>560000</v>
      </c>
      <c r="P211" t="s">
        <v>493</v>
      </c>
      <c r="Q211">
        <f t="shared" ca="1" si="27"/>
        <v>100000</v>
      </c>
      <c r="R211" t="s">
        <v>503</v>
      </c>
      <c r="S211">
        <v>1.8</v>
      </c>
      <c r="T211" s="20">
        <f t="shared" ca="1" si="28"/>
        <v>46296</v>
      </c>
      <c r="U211">
        <f ca="1">_xlfn.DAYS(H211,T211)</f>
        <v>-274</v>
      </c>
      <c r="V211" t="str">
        <f t="shared" ca="1" si="29"/>
        <v>Pre contrato</v>
      </c>
      <c r="W211" s="34">
        <f t="shared" si="30"/>
        <v>300000</v>
      </c>
      <c r="X211" s="34">
        <f t="shared" si="31"/>
        <v>650000</v>
      </c>
    </row>
    <row r="212" spans="1:24">
      <c r="A212" t="s">
        <v>528</v>
      </c>
      <c r="B212" t="s">
        <v>343</v>
      </c>
      <c r="C212" s="6" t="s">
        <v>343</v>
      </c>
      <c r="D212" s="6" t="s">
        <v>305</v>
      </c>
      <c r="E212">
        <f t="shared" ca="1" si="25"/>
        <v>34</v>
      </c>
      <c r="F212" s="20">
        <v>33770</v>
      </c>
      <c r="G212" s="20">
        <v>45323</v>
      </c>
      <c r="H212" s="20">
        <v>45657</v>
      </c>
      <c r="I212" s="17">
        <v>76000</v>
      </c>
      <c r="J212" t="s">
        <v>386</v>
      </c>
      <c r="K212" s="6" t="s">
        <v>500</v>
      </c>
      <c r="L212">
        <v>2</v>
      </c>
      <c r="M212">
        <v>21</v>
      </c>
      <c r="N212" s="17">
        <v>350000</v>
      </c>
      <c r="O212" s="24">
        <f t="shared" si="26"/>
        <v>1225000</v>
      </c>
      <c r="P212" t="s">
        <v>493</v>
      </c>
      <c r="Q212">
        <f t="shared" ca="1" si="27"/>
        <v>100000</v>
      </c>
      <c r="R212" t="s">
        <v>503</v>
      </c>
      <c r="S212">
        <v>1.74</v>
      </c>
      <c r="T212" s="20">
        <f t="shared" ca="1" si="28"/>
        <v>46296</v>
      </c>
      <c r="U212">
        <f ca="1">_xlfn.DAYS(H211,T211)</f>
        <v>-274</v>
      </c>
      <c r="V212" t="str">
        <f t="shared" ca="1" si="29"/>
        <v>Pre contrato</v>
      </c>
      <c r="W212" s="34">
        <f t="shared" si="30"/>
        <v>456000</v>
      </c>
      <c r="X212" s="34">
        <f t="shared" si="31"/>
        <v>988000</v>
      </c>
    </row>
    <row r="213" spans="1:24">
      <c r="A213" t="s">
        <v>529</v>
      </c>
      <c r="B213" t="s">
        <v>343</v>
      </c>
      <c r="C213" s="6" t="s">
        <v>343</v>
      </c>
      <c r="D213" s="6" t="s">
        <v>530</v>
      </c>
      <c r="E213">
        <f t="shared" ca="1" si="25"/>
        <v>37</v>
      </c>
      <c r="F213" s="20">
        <v>32652</v>
      </c>
      <c r="G213" s="20">
        <v>45323</v>
      </c>
      <c r="H213" s="20">
        <v>45657</v>
      </c>
      <c r="I213" s="17">
        <v>150000</v>
      </c>
      <c r="J213" t="s">
        <v>531</v>
      </c>
      <c r="K213" s="6" t="s">
        <v>500</v>
      </c>
      <c r="L213">
        <v>0</v>
      </c>
      <c r="M213">
        <v>0</v>
      </c>
      <c r="N213" s="17">
        <v>1000000</v>
      </c>
      <c r="O213" s="24">
        <f t="shared" si="26"/>
        <v>3500000</v>
      </c>
      <c r="P213" t="s">
        <v>493</v>
      </c>
      <c r="Q213">
        <f t="shared" ca="1" si="27"/>
        <v>100000</v>
      </c>
      <c r="R213" t="s">
        <v>503</v>
      </c>
      <c r="S213">
        <v>1.85</v>
      </c>
      <c r="T213" s="20">
        <f t="shared" ca="1" si="28"/>
        <v>46296</v>
      </c>
      <c r="U213">
        <f ca="1">_xlfn.DAYS(H213,T213)</f>
        <v>-639</v>
      </c>
      <c r="V213" t="str">
        <f t="shared" ca="1" si="29"/>
        <v>Pre contrato</v>
      </c>
      <c r="W213" s="34">
        <f t="shared" si="30"/>
        <v>900000</v>
      </c>
      <c r="X213" s="34">
        <f t="shared" si="31"/>
        <v>1950000</v>
      </c>
    </row>
    <row r="214" spans="1:24">
      <c r="A214" t="s">
        <v>532</v>
      </c>
      <c r="B214" t="s">
        <v>343</v>
      </c>
      <c r="C214" s="6" t="s">
        <v>343</v>
      </c>
      <c r="D214" s="6" t="s">
        <v>305</v>
      </c>
      <c r="E214">
        <f t="shared" ca="1" si="25"/>
        <v>25</v>
      </c>
      <c r="F214" s="20">
        <v>37024</v>
      </c>
      <c r="G214" s="20">
        <v>44256</v>
      </c>
      <c r="H214" s="20">
        <v>46022</v>
      </c>
      <c r="I214" s="17">
        <v>30000</v>
      </c>
      <c r="J214" t="s">
        <v>533</v>
      </c>
      <c r="K214" s="6" t="s">
        <v>500</v>
      </c>
      <c r="L214">
        <v>0</v>
      </c>
      <c r="M214">
        <v>0</v>
      </c>
      <c r="N214" s="17">
        <v>100000</v>
      </c>
      <c r="O214" s="24">
        <f t="shared" si="26"/>
        <v>350000</v>
      </c>
      <c r="P214" t="s">
        <v>493</v>
      </c>
      <c r="Q214">
        <f t="shared" ca="1" si="27"/>
        <v>120000</v>
      </c>
      <c r="R214" t="s">
        <v>503</v>
      </c>
      <c r="S214">
        <v>1.85</v>
      </c>
      <c r="T214" s="20">
        <f t="shared" ca="1" si="28"/>
        <v>46296</v>
      </c>
      <c r="U214">
        <f ca="1">_xlfn.DAYS(H214,T214)</f>
        <v>-274</v>
      </c>
      <c r="V214" t="str">
        <f t="shared" ca="1" si="29"/>
        <v>Pre contrato</v>
      </c>
      <c r="W214" s="34">
        <f t="shared" si="30"/>
        <v>180000</v>
      </c>
      <c r="X214" s="34">
        <f t="shared" si="31"/>
        <v>390000</v>
      </c>
    </row>
    <row r="215" spans="1:24">
      <c r="A215" t="s">
        <v>534</v>
      </c>
      <c r="B215" t="s">
        <v>343</v>
      </c>
      <c r="C215" s="6" t="s">
        <v>343</v>
      </c>
      <c r="D215" s="6" t="s">
        <v>305</v>
      </c>
      <c r="E215">
        <f t="shared" ca="1" si="25"/>
        <v>26</v>
      </c>
      <c r="F215" s="20">
        <v>36459</v>
      </c>
      <c r="G215" s="20">
        <v>45531</v>
      </c>
      <c r="H215" s="20">
        <v>46022</v>
      </c>
      <c r="I215" s="17">
        <v>25000</v>
      </c>
      <c r="J215" t="s">
        <v>443</v>
      </c>
      <c r="K215" s="6" t="s">
        <v>500</v>
      </c>
      <c r="L215">
        <v>0</v>
      </c>
      <c r="M215">
        <v>0</v>
      </c>
      <c r="N215" s="17">
        <v>100000</v>
      </c>
      <c r="O215" s="24">
        <f t="shared" si="26"/>
        <v>350000</v>
      </c>
      <c r="P215" t="s">
        <v>493</v>
      </c>
      <c r="Q215">
        <f t="shared" ca="1" si="27"/>
        <v>120000</v>
      </c>
      <c r="R215" t="s">
        <v>503</v>
      </c>
      <c r="S215">
        <v>1.79</v>
      </c>
      <c r="T215" s="20">
        <f t="shared" ca="1" si="28"/>
        <v>46296</v>
      </c>
      <c r="U215">
        <f ca="1">_xlfn.DAYS(H215,T215)</f>
        <v>-274</v>
      </c>
      <c r="V215" t="str">
        <f t="shared" ca="1" si="29"/>
        <v>Pre contrato</v>
      </c>
      <c r="W215" s="34">
        <f t="shared" si="30"/>
        <v>150000</v>
      </c>
      <c r="X215" s="34">
        <f t="shared" si="31"/>
        <v>325000</v>
      </c>
    </row>
    <row r="216" spans="1:24">
      <c r="A216" t="s">
        <v>535</v>
      </c>
      <c r="B216" t="s">
        <v>343</v>
      </c>
      <c r="C216" s="6" t="s">
        <v>343</v>
      </c>
      <c r="D216" s="6" t="s">
        <v>305</v>
      </c>
      <c r="E216">
        <f t="shared" ca="1" si="25"/>
        <v>31</v>
      </c>
      <c r="F216" s="20">
        <v>34813</v>
      </c>
      <c r="G216" s="20">
        <v>45323</v>
      </c>
      <c r="H216" s="20">
        <v>45657</v>
      </c>
      <c r="I216" s="17">
        <v>25000</v>
      </c>
      <c r="J216" t="s">
        <v>536</v>
      </c>
      <c r="K216" s="6" t="s">
        <v>500</v>
      </c>
      <c r="L216">
        <v>0</v>
      </c>
      <c r="M216">
        <v>0</v>
      </c>
      <c r="N216" s="17">
        <v>100000</v>
      </c>
      <c r="O216" s="24">
        <f t="shared" si="26"/>
        <v>350000</v>
      </c>
      <c r="P216" t="s">
        <v>493</v>
      </c>
      <c r="Q216">
        <f t="shared" ca="1" si="27"/>
        <v>100000</v>
      </c>
      <c r="R216" t="s">
        <v>503</v>
      </c>
      <c r="S216">
        <v>1.82</v>
      </c>
      <c r="T216" s="20">
        <f t="shared" ca="1" si="28"/>
        <v>46296</v>
      </c>
      <c r="U216">
        <f ca="1">_xlfn.DAYS(H215,T215)</f>
        <v>-274</v>
      </c>
      <c r="V216" t="str">
        <f t="shared" ca="1" si="29"/>
        <v>Pre contrato</v>
      </c>
      <c r="W216" s="34">
        <f t="shared" si="30"/>
        <v>150000</v>
      </c>
      <c r="X216" s="34">
        <f t="shared" si="31"/>
        <v>325000</v>
      </c>
    </row>
    <row r="217" spans="1:24">
      <c r="A217" t="s">
        <v>537</v>
      </c>
      <c r="B217" t="s">
        <v>343</v>
      </c>
      <c r="C217" s="6" t="s">
        <v>343</v>
      </c>
      <c r="D217" s="6" t="s">
        <v>305</v>
      </c>
      <c r="E217">
        <f t="shared" ca="1" si="25"/>
        <v>30</v>
      </c>
      <c r="F217" s="20">
        <v>35112</v>
      </c>
      <c r="G217" s="20">
        <v>44601</v>
      </c>
      <c r="H217" s="20">
        <v>46022</v>
      </c>
      <c r="I217" s="17">
        <v>100000</v>
      </c>
      <c r="J217" t="s">
        <v>538</v>
      </c>
      <c r="K217" s="6" t="s">
        <v>500</v>
      </c>
      <c r="L217">
        <v>0</v>
      </c>
      <c r="M217">
        <v>0</v>
      </c>
      <c r="N217" s="17">
        <v>500000</v>
      </c>
      <c r="O217" s="24">
        <f t="shared" si="26"/>
        <v>1750000</v>
      </c>
      <c r="P217" t="s">
        <v>493</v>
      </c>
      <c r="Q217">
        <f t="shared" ca="1" si="27"/>
        <v>120000</v>
      </c>
      <c r="R217" t="s">
        <v>506</v>
      </c>
      <c r="S217">
        <v>1.76</v>
      </c>
      <c r="T217" s="20">
        <f t="shared" ca="1" si="28"/>
        <v>46296</v>
      </c>
      <c r="U217">
        <f t="shared" ref="U217:U248" ca="1" si="32">_xlfn.DAYS(H217,T217)</f>
        <v>-274</v>
      </c>
      <c r="V217" t="str">
        <f t="shared" ca="1" si="29"/>
        <v>Pre contrato</v>
      </c>
      <c r="W217" s="34">
        <f t="shared" si="30"/>
        <v>600000</v>
      </c>
      <c r="X217" s="34">
        <f t="shared" si="31"/>
        <v>1300000</v>
      </c>
    </row>
    <row r="218" spans="1:24">
      <c r="A218" t="s">
        <v>539</v>
      </c>
      <c r="B218" t="s">
        <v>343</v>
      </c>
      <c r="C218" s="6" t="s">
        <v>343</v>
      </c>
      <c r="D218" s="6" t="s">
        <v>305</v>
      </c>
      <c r="E218">
        <f t="shared" ca="1" si="25"/>
        <v>29</v>
      </c>
      <c r="F218" s="20">
        <v>35501</v>
      </c>
      <c r="G218" s="20">
        <v>45108</v>
      </c>
      <c r="H218" s="20">
        <v>45657</v>
      </c>
      <c r="I218" s="17">
        <v>150000</v>
      </c>
      <c r="J218" t="s">
        <v>373</v>
      </c>
      <c r="K218" s="6" t="s">
        <v>500</v>
      </c>
      <c r="L218">
        <v>2</v>
      </c>
      <c r="M218">
        <v>189</v>
      </c>
      <c r="N218" s="17">
        <v>346000</v>
      </c>
      <c r="O218" s="24">
        <f t="shared" si="26"/>
        <v>1211000</v>
      </c>
      <c r="P218" t="s">
        <v>493</v>
      </c>
      <c r="Q218">
        <f t="shared" ca="1" si="27"/>
        <v>120000</v>
      </c>
      <c r="R218" t="s">
        <v>506</v>
      </c>
      <c r="S218">
        <v>1.85</v>
      </c>
      <c r="T218" s="20">
        <f t="shared" ca="1" si="28"/>
        <v>46296</v>
      </c>
      <c r="U218">
        <f t="shared" ca="1" si="32"/>
        <v>-639</v>
      </c>
      <c r="V218" t="str">
        <f t="shared" ca="1" si="29"/>
        <v>Pre contrato</v>
      </c>
      <c r="W218" s="34">
        <f t="shared" si="30"/>
        <v>900000</v>
      </c>
      <c r="X218" s="34">
        <f t="shared" si="31"/>
        <v>1950000</v>
      </c>
    </row>
    <row r="219" spans="1:24">
      <c r="A219" t="s">
        <v>540</v>
      </c>
      <c r="B219" t="s">
        <v>343</v>
      </c>
      <c r="C219" s="6" t="s">
        <v>343</v>
      </c>
      <c r="D219" s="6" t="s">
        <v>305</v>
      </c>
      <c r="E219">
        <f t="shared" ca="1" si="25"/>
        <v>24</v>
      </c>
      <c r="F219" s="20">
        <v>37181</v>
      </c>
      <c r="G219" s="20">
        <v>45519</v>
      </c>
      <c r="H219" s="20">
        <v>45747</v>
      </c>
      <c r="I219" s="17">
        <v>50000</v>
      </c>
      <c r="J219" t="s">
        <v>414</v>
      </c>
      <c r="K219" s="6" t="s">
        <v>500</v>
      </c>
      <c r="L219">
        <v>0</v>
      </c>
      <c r="M219">
        <v>0</v>
      </c>
      <c r="N219" s="17">
        <v>150000</v>
      </c>
      <c r="O219" s="24">
        <f t="shared" si="26"/>
        <v>525000</v>
      </c>
      <c r="P219" t="s">
        <v>493</v>
      </c>
      <c r="Q219">
        <f t="shared" ca="1" si="27"/>
        <v>160000</v>
      </c>
      <c r="R219" t="s">
        <v>506</v>
      </c>
      <c r="S219">
        <v>1.9</v>
      </c>
      <c r="T219" s="20">
        <f t="shared" ca="1" si="28"/>
        <v>46296</v>
      </c>
      <c r="U219">
        <f t="shared" ca="1" si="32"/>
        <v>-549</v>
      </c>
      <c r="V219" t="str">
        <f t="shared" ca="1" si="29"/>
        <v>Pre contrato</v>
      </c>
      <c r="W219" s="34">
        <f t="shared" si="30"/>
        <v>300000</v>
      </c>
      <c r="X219" s="34">
        <f t="shared" si="31"/>
        <v>650000</v>
      </c>
    </row>
    <row r="220" spans="1:24">
      <c r="A220" s="6" t="s">
        <v>233</v>
      </c>
      <c r="B220" t="s">
        <v>332</v>
      </c>
      <c r="C220" s="6" t="s">
        <v>333</v>
      </c>
      <c r="D220" s="6" t="s">
        <v>305</v>
      </c>
      <c r="E220">
        <f t="shared" ca="1" si="25"/>
        <v>26</v>
      </c>
      <c r="F220" s="11">
        <v>36614</v>
      </c>
      <c r="G220" s="9">
        <v>45401</v>
      </c>
      <c r="H220" s="9">
        <v>45657</v>
      </c>
      <c r="I220" s="12">
        <v>650000</v>
      </c>
      <c r="J220" s="6" t="s">
        <v>411</v>
      </c>
      <c r="K220" s="6" t="s">
        <v>495</v>
      </c>
      <c r="L220" s="6">
        <v>0</v>
      </c>
      <c r="M220" s="6">
        <v>0</v>
      </c>
      <c r="N220" s="12">
        <v>1500000</v>
      </c>
      <c r="O220" s="24">
        <f t="shared" si="26"/>
        <v>5250000</v>
      </c>
      <c r="P220" s="6" t="s">
        <v>493</v>
      </c>
      <c r="Q220">
        <f t="shared" ca="1" si="27"/>
        <v>120000</v>
      </c>
      <c r="R220" s="6" t="s">
        <v>505</v>
      </c>
      <c r="S220" s="6">
        <v>1.92</v>
      </c>
      <c r="T220" s="9">
        <f t="shared" ca="1" si="28"/>
        <v>46296</v>
      </c>
      <c r="U220" s="6">
        <f t="shared" ca="1" si="32"/>
        <v>-639</v>
      </c>
      <c r="V220" s="6" t="str">
        <f t="shared" ca="1" si="29"/>
        <v>Pre contrato</v>
      </c>
      <c r="W220" s="34">
        <f t="shared" si="30"/>
        <v>3900000</v>
      </c>
      <c r="X220" s="34">
        <f t="shared" si="31"/>
        <v>8450000</v>
      </c>
    </row>
    <row r="221" spans="1:24">
      <c r="A221" s="6" t="s">
        <v>234</v>
      </c>
      <c r="B221" t="s">
        <v>332</v>
      </c>
      <c r="C221" s="6" t="s">
        <v>332</v>
      </c>
      <c r="D221" s="6" t="s">
        <v>305</v>
      </c>
      <c r="E221">
        <f t="shared" ca="1" si="25"/>
        <v>28</v>
      </c>
      <c r="F221" s="11">
        <v>35859</v>
      </c>
      <c r="G221" s="9">
        <v>44927</v>
      </c>
      <c r="H221" s="9">
        <v>46022</v>
      </c>
      <c r="I221" s="12">
        <v>250000</v>
      </c>
      <c r="J221" s="6" t="s">
        <v>348</v>
      </c>
      <c r="K221" s="6" t="s">
        <v>495</v>
      </c>
      <c r="L221" s="6">
        <v>0</v>
      </c>
      <c r="M221" s="6">
        <v>0</v>
      </c>
      <c r="N221" s="12">
        <v>1000000</v>
      </c>
      <c r="O221" s="24">
        <f t="shared" si="26"/>
        <v>3500000</v>
      </c>
      <c r="P221" s="6" t="s">
        <v>493</v>
      </c>
      <c r="Q221">
        <f t="shared" ca="1" si="27"/>
        <v>120000</v>
      </c>
      <c r="R221" s="6" t="s">
        <v>506</v>
      </c>
      <c r="S221" s="6">
        <v>1.9</v>
      </c>
      <c r="T221" s="9">
        <f t="shared" ca="1" si="28"/>
        <v>46296</v>
      </c>
      <c r="U221" s="6">
        <f t="shared" ca="1" si="32"/>
        <v>-274</v>
      </c>
      <c r="V221" s="6" t="str">
        <f t="shared" ca="1" si="29"/>
        <v>Pre contrato</v>
      </c>
      <c r="W221" s="34">
        <f t="shared" si="30"/>
        <v>1500000</v>
      </c>
      <c r="X221" s="34">
        <f t="shared" si="31"/>
        <v>3250000</v>
      </c>
    </row>
    <row r="222" spans="1:24">
      <c r="A222" s="6" t="s">
        <v>235</v>
      </c>
      <c r="B222" t="s">
        <v>332</v>
      </c>
      <c r="C222" s="6" t="s">
        <v>332</v>
      </c>
      <c r="D222" s="6" t="s">
        <v>305</v>
      </c>
      <c r="E222">
        <f t="shared" ca="1" si="25"/>
        <v>39</v>
      </c>
      <c r="F222" s="11">
        <v>31934</v>
      </c>
      <c r="G222" s="9">
        <v>45483</v>
      </c>
      <c r="H222" s="9">
        <v>46538</v>
      </c>
      <c r="I222" s="12">
        <v>890000</v>
      </c>
      <c r="J222" s="6" t="s">
        <v>401</v>
      </c>
      <c r="K222" s="6" t="s">
        <v>495</v>
      </c>
      <c r="L222" s="6">
        <v>0</v>
      </c>
      <c r="M222" s="6">
        <v>0</v>
      </c>
      <c r="N222" s="12">
        <v>500000</v>
      </c>
      <c r="O222" s="24">
        <f t="shared" si="26"/>
        <v>1750000</v>
      </c>
      <c r="P222" s="6" t="s">
        <v>497</v>
      </c>
      <c r="Q222">
        <f t="shared" ca="1" si="27"/>
        <v>100000</v>
      </c>
      <c r="R222" s="6" t="s">
        <v>506</v>
      </c>
      <c r="S222" s="6">
        <v>1.95</v>
      </c>
      <c r="T222" s="9">
        <f t="shared" ca="1" si="28"/>
        <v>46296</v>
      </c>
      <c r="U222" s="6">
        <f t="shared" ca="1" si="32"/>
        <v>242</v>
      </c>
      <c r="V222" s="6" t="str">
        <f t="shared" ca="1" si="29"/>
        <v>Com Contrato em vigor</v>
      </c>
      <c r="W222" s="34">
        <f t="shared" si="30"/>
        <v>5340000</v>
      </c>
      <c r="X222" s="34">
        <f t="shared" si="31"/>
        <v>11570000</v>
      </c>
    </row>
    <row r="223" spans="1:24">
      <c r="A223" s="6" t="s">
        <v>236</v>
      </c>
      <c r="B223" t="s">
        <v>332</v>
      </c>
      <c r="C223" s="6" t="s">
        <v>332</v>
      </c>
      <c r="D223" s="6" t="s">
        <v>305</v>
      </c>
      <c r="E223">
        <f t="shared" ca="1" si="25"/>
        <v>24</v>
      </c>
      <c r="F223" s="11">
        <v>37365</v>
      </c>
      <c r="G223" s="9">
        <v>45292</v>
      </c>
      <c r="H223" s="9">
        <v>46387</v>
      </c>
      <c r="I223" s="12">
        <v>45000</v>
      </c>
      <c r="J223" s="6" t="s">
        <v>465</v>
      </c>
      <c r="K223" s="6" t="s">
        <v>495</v>
      </c>
      <c r="L223" s="6">
        <v>0</v>
      </c>
      <c r="M223" s="6">
        <v>0</v>
      </c>
      <c r="N223" s="12">
        <v>50000</v>
      </c>
      <c r="O223" s="24">
        <f t="shared" si="26"/>
        <v>175000</v>
      </c>
      <c r="P223" s="6" t="s">
        <v>493</v>
      </c>
      <c r="Q223">
        <f t="shared" ca="1" si="27"/>
        <v>160000</v>
      </c>
      <c r="R223" s="6" t="s">
        <v>506</v>
      </c>
      <c r="S223" s="6">
        <v>1.92</v>
      </c>
      <c r="T223" s="9">
        <f t="shared" ca="1" si="28"/>
        <v>46296</v>
      </c>
      <c r="U223" s="6">
        <f t="shared" ca="1" si="32"/>
        <v>91</v>
      </c>
      <c r="V223" s="6" t="str">
        <f t="shared" ca="1" si="29"/>
        <v>Pre contrato</v>
      </c>
      <c r="W223" s="34">
        <f t="shared" si="30"/>
        <v>270000</v>
      </c>
      <c r="X223" s="34">
        <f t="shared" si="31"/>
        <v>585000</v>
      </c>
    </row>
    <row r="224" spans="1:24">
      <c r="A224" s="6" t="s">
        <v>237</v>
      </c>
      <c r="B224" t="s">
        <v>332</v>
      </c>
      <c r="C224" s="6" t="s">
        <v>332</v>
      </c>
      <c r="D224" s="6" t="s">
        <v>305</v>
      </c>
      <c r="E224">
        <f t="shared" ca="1" si="25"/>
        <v>26</v>
      </c>
      <c r="F224" s="11">
        <v>36690</v>
      </c>
      <c r="G224" s="9">
        <v>45474</v>
      </c>
      <c r="H224" s="9">
        <v>47118</v>
      </c>
      <c r="I224" s="12">
        <v>650000</v>
      </c>
      <c r="J224" s="6" t="s">
        <v>429</v>
      </c>
      <c r="K224" s="6" t="s">
        <v>492</v>
      </c>
      <c r="L224" s="6">
        <v>0</v>
      </c>
      <c r="M224" s="6">
        <v>0</v>
      </c>
      <c r="N224" s="12">
        <v>7500000</v>
      </c>
      <c r="O224" s="24">
        <f t="shared" si="26"/>
        <v>26250000</v>
      </c>
      <c r="P224" s="6" t="s">
        <v>493</v>
      </c>
      <c r="Q224">
        <f t="shared" ca="1" si="27"/>
        <v>120000</v>
      </c>
      <c r="R224" s="6" t="s">
        <v>506</v>
      </c>
      <c r="S224" s="6">
        <v>1.89</v>
      </c>
      <c r="T224" s="9">
        <f t="shared" ca="1" si="28"/>
        <v>46296</v>
      </c>
      <c r="U224" s="6">
        <f t="shared" ca="1" si="32"/>
        <v>822</v>
      </c>
      <c r="V224" s="6" t="str">
        <f t="shared" ca="1" si="29"/>
        <v>Com Contrato em vigor</v>
      </c>
      <c r="W224" s="34">
        <f t="shared" si="30"/>
        <v>3900000</v>
      </c>
      <c r="X224" s="34">
        <f t="shared" si="31"/>
        <v>8450000</v>
      </c>
    </row>
    <row r="225" spans="1:24">
      <c r="A225" s="6" t="s">
        <v>238</v>
      </c>
      <c r="B225" t="s">
        <v>332</v>
      </c>
      <c r="C225" s="6" t="s">
        <v>332</v>
      </c>
      <c r="D225" s="6" t="s">
        <v>305</v>
      </c>
      <c r="E225">
        <f t="shared" ca="1" si="25"/>
        <v>29</v>
      </c>
      <c r="F225" s="11">
        <v>35482</v>
      </c>
      <c r="G225" s="9">
        <v>45292</v>
      </c>
      <c r="H225" s="9">
        <v>46387</v>
      </c>
      <c r="I225" s="12">
        <v>750000</v>
      </c>
      <c r="J225" s="6" t="s">
        <v>432</v>
      </c>
      <c r="K225" s="6" t="s">
        <v>492</v>
      </c>
      <c r="L225" s="6">
        <v>0</v>
      </c>
      <c r="M225" s="6">
        <v>0</v>
      </c>
      <c r="N225" s="12">
        <v>6000000</v>
      </c>
      <c r="O225" s="24">
        <f t="shared" si="26"/>
        <v>21000000</v>
      </c>
      <c r="P225" s="6" t="s">
        <v>493</v>
      </c>
      <c r="Q225">
        <f t="shared" ca="1" si="27"/>
        <v>120000</v>
      </c>
      <c r="R225" s="6" t="s">
        <v>503</v>
      </c>
      <c r="S225" s="6">
        <v>1.85</v>
      </c>
      <c r="T225" s="9">
        <f t="shared" ca="1" si="28"/>
        <v>46296</v>
      </c>
      <c r="U225" s="6">
        <f t="shared" ca="1" si="32"/>
        <v>91</v>
      </c>
      <c r="V225" s="6" t="str">
        <f t="shared" ca="1" si="29"/>
        <v>Pre contrato</v>
      </c>
      <c r="W225" s="34">
        <f t="shared" si="30"/>
        <v>4500000</v>
      </c>
      <c r="X225" s="34">
        <f t="shared" si="31"/>
        <v>9750000</v>
      </c>
    </row>
    <row r="226" spans="1:24">
      <c r="A226" s="6" t="s">
        <v>239</v>
      </c>
      <c r="B226" t="s">
        <v>332</v>
      </c>
      <c r="C226" s="6" t="s">
        <v>334</v>
      </c>
      <c r="D226" s="6" t="s">
        <v>305</v>
      </c>
      <c r="E226">
        <f t="shared" ca="1" si="25"/>
        <v>32</v>
      </c>
      <c r="F226" s="11">
        <v>34565</v>
      </c>
      <c r="G226" s="9">
        <v>45328</v>
      </c>
      <c r="H226" s="9">
        <v>46022</v>
      </c>
      <c r="I226" s="12">
        <v>450000</v>
      </c>
      <c r="J226" s="6" t="s">
        <v>348</v>
      </c>
      <c r="K226" s="6" t="s">
        <v>492</v>
      </c>
      <c r="L226" s="6">
        <v>0</v>
      </c>
      <c r="M226" s="6">
        <v>0</v>
      </c>
      <c r="N226" s="12">
        <v>3000000</v>
      </c>
      <c r="O226" s="24">
        <f t="shared" si="26"/>
        <v>10500000</v>
      </c>
      <c r="P226" s="6" t="s">
        <v>497</v>
      </c>
      <c r="Q226">
        <f t="shared" ca="1" si="27"/>
        <v>100000</v>
      </c>
      <c r="R226" s="6" t="s">
        <v>503</v>
      </c>
      <c r="S226" s="6">
        <v>1.79</v>
      </c>
      <c r="T226" s="9">
        <f t="shared" ca="1" si="28"/>
        <v>46296</v>
      </c>
      <c r="U226" s="6">
        <f t="shared" ca="1" si="32"/>
        <v>-274</v>
      </c>
      <c r="V226" s="6" t="str">
        <f t="shared" ca="1" si="29"/>
        <v>Pre contrato</v>
      </c>
      <c r="W226" s="34">
        <f t="shared" si="30"/>
        <v>2700000</v>
      </c>
      <c r="X226" s="34">
        <f t="shared" si="31"/>
        <v>5850000</v>
      </c>
    </row>
    <row r="227" spans="1:24">
      <c r="A227" s="6" t="s">
        <v>240</v>
      </c>
      <c r="B227" t="s">
        <v>332</v>
      </c>
      <c r="C227" s="6" t="s">
        <v>332</v>
      </c>
      <c r="D227" s="6" t="s">
        <v>305</v>
      </c>
      <c r="E227">
        <f t="shared" ca="1" si="25"/>
        <v>22</v>
      </c>
      <c r="F227" s="11">
        <v>38134</v>
      </c>
      <c r="G227" s="9">
        <v>45483</v>
      </c>
      <c r="H227" s="9">
        <v>47299</v>
      </c>
      <c r="I227" s="12">
        <v>150000</v>
      </c>
      <c r="J227" s="6" t="s">
        <v>357</v>
      </c>
      <c r="K227" s="6" t="s">
        <v>492</v>
      </c>
      <c r="L227" s="6">
        <v>0</v>
      </c>
      <c r="M227" s="6">
        <v>0</v>
      </c>
      <c r="N227" s="12">
        <v>300000</v>
      </c>
      <c r="O227" s="24">
        <f t="shared" si="26"/>
        <v>1050000</v>
      </c>
      <c r="P227" s="6" t="s">
        <v>493</v>
      </c>
      <c r="Q227">
        <f t="shared" ca="1" si="27"/>
        <v>160000</v>
      </c>
      <c r="R227" s="6" t="s">
        <v>506</v>
      </c>
      <c r="S227" s="6">
        <v>1.87</v>
      </c>
      <c r="T227" s="9">
        <f t="shared" ca="1" si="28"/>
        <v>46296</v>
      </c>
      <c r="U227" s="6">
        <f t="shared" ca="1" si="32"/>
        <v>1003</v>
      </c>
      <c r="V227" s="6" t="str">
        <f t="shared" ca="1" si="29"/>
        <v>Com Contrato em vigor</v>
      </c>
      <c r="W227" s="34">
        <f t="shared" si="30"/>
        <v>900000</v>
      </c>
      <c r="X227" s="34">
        <f t="shared" si="31"/>
        <v>1950000</v>
      </c>
    </row>
    <row r="228" spans="1:24">
      <c r="A228" s="6" t="s">
        <v>241</v>
      </c>
      <c r="B228" t="s">
        <v>332</v>
      </c>
      <c r="C228" s="6" t="s">
        <v>332</v>
      </c>
      <c r="D228" s="6" t="s">
        <v>305</v>
      </c>
      <c r="E228">
        <f t="shared" ca="1" si="25"/>
        <v>23</v>
      </c>
      <c r="F228" s="11">
        <v>37669</v>
      </c>
      <c r="G228" s="9">
        <v>45292</v>
      </c>
      <c r="H228" s="9">
        <v>46387</v>
      </c>
      <c r="I228" s="12">
        <v>130000</v>
      </c>
      <c r="J228" s="6" t="s">
        <v>390</v>
      </c>
      <c r="K228" s="6" t="s">
        <v>492</v>
      </c>
      <c r="L228" s="6">
        <v>0</v>
      </c>
      <c r="M228" s="6">
        <v>0</v>
      </c>
      <c r="N228" s="12">
        <v>600000</v>
      </c>
      <c r="O228" s="24">
        <f t="shared" si="26"/>
        <v>2100000</v>
      </c>
      <c r="P228" s="6" t="s">
        <v>493</v>
      </c>
      <c r="Q228">
        <f t="shared" ca="1" si="27"/>
        <v>160000</v>
      </c>
      <c r="R228" s="6" t="s">
        <v>506</v>
      </c>
      <c r="S228" s="6">
        <v>1.83</v>
      </c>
      <c r="T228" s="9">
        <f t="shared" ca="1" si="28"/>
        <v>46296</v>
      </c>
      <c r="U228" s="6">
        <f t="shared" ca="1" si="32"/>
        <v>91</v>
      </c>
      <c r="V228" s="6" t="str">
        <f t="shared" ca="1" si="29"/>
        <v>Pre contrato</v>
      </c>
      <c r="W228" s="34">
        <f t="shared" si="30"/>
        <v>780000</v>
      </c>
      <c r="X228" s="34">
        <f t="shared" si="31"/>
        <v>1690000</v>
      </c>
    </row>
    <row r="229" spans="1:24">
      <c r="A229" s="6" t="s">
        <v>242</v>
      </c>
      <c r="B229" t="s">
        <v>332</v>
      </c>
      <c r="C229" s="6" t="s">
        <v>332</v>
      </c>
      <c r="D229" s="6" t="s">
        <v>305</v>
      </c>
      <c r="E229">
        <f t="shared" ca="1" si="25"/>
        <v>22</v>
      </c>
      <c r="F229" s="11">
        <v>37992</v>
      </c>
      <c r="G229" s="9">
        <v>45323</v>
      </c>
      <c r="H229" s="9">
        <v>46387</v>
      </c>
      <c r="I229" s="12">
        <v>150000</v>
      </c>
      <c r="J229" s="6" t="s">
        <v>466</v>
      </c>
      <c r="K229" s="6" t="s">
        <v>492</v>
      </c>
      <c r="L229" s="6">
        <v>0</v>
      </c>
      <c r="M229" s="6">
        <v>0</v>
      </c>
      <c r="N229" s="12">
        <v>800000</v>
      </c>
      <c r="O229" s="24">
        <f t="shared" si="26"/>
        <v>2800000</v>
      </c>
      <c r="P229" s="6" t="s">
        <v>493</v>
      </c>
      <c r="Q229">
        <f t="shared" ca="1" si="27"/>
        <v>160000</v>
      </c>
      <c r="R229" s="6" t="s">
        <v>506</v>
      </c>
      <c r="S229" s="6">
        <v>1.86</v>
      </c>
      <c r="T229" s="9">
        <f t="shared" ca="1" si="28"/>
        <v>46296</v>
      </c>
      <c r="U229" s="6">
        <f t="shared" ca="1" si="32"/>
        <v>91</v>
      </c>
      <c r="V229" s="6" t="str">
        <f t="shared" ca="1" si="29"/>
        <v>Pre contrato</v>
      </c>
      <c r="W229" s="34">
        <f t="shared" si="30"/>
        <v>900000</v>
      </c>
      <c r="X229" s="34">
        <f t="shared" si="31"/>
        <v>1950000</v>
      </c>
    </row>
    <row r="230" spans="1:24">
      <c r="A230" s="6" t="s">
        <v>243</v>
      </c>
      <c r="B230" t="s">
        <v>332</v>
      </c>
      <c r="C230" s="6" t="s">
        <v>332</v>
      </c>
      <c r="D230" s="6" t="s">
        <v>305</v>
      </c>
      <c r="E230">
        <f t="shared" ca="1" si="25"/>
        <v>29</v>
      </c>
      <c r="F230" s="11">
        <v>35570</v>
      </c>
      <c r="G230" s="9">
        <v>44995</v>
      </c>
      <c r="H230" s="9">
        <v>46387</v>
      </c>
      <c r="I230" s="12">
        <v>689000</v>
      </c>
      <c r="J230" s="6" t="s">
        <v>467</v>
      </c>
      <c r="K230" s="6" t="s">
        <v>502</v>
      </c>
      <c r="L230" s="6">
        <v>1</v>
      </c>
      <c r="M230" s="6">
        <v>21</v>
      </c>
      <c r="N230" s="12">
        <v>12000000</v>
      </c>
      <c r="O230" s="24">
        <f t="shared" si="26"/>
        <v>42000000</v>
      </c>
      <c r="P230" s="6" t="s">
        <v>497</v>
      </c>
      <c r="Q230">
        <f t="shared" ca="1" si="27"/>
        <v>120000</v>
      </c>
      <c r="R230" s="6" t="s">
        <v>506</v>
      </c>
      <c r="S230" s="6">
        <v>1.78</v>
      </c>
      <c r="T230" s="9">
        <f t="shared" ca="1" si="28"/>
        <v>46296</v>
      </c>
      <c r="U230" s="6">
        <f t="shared" ca="1" si="32"/>
        <v>91</v>
      </c>
      <c r="V230" s="6" t="str">
        <f t="shared" ca="1" si="29"/>
        <v>Pre contrato</v>
      </c>
      <c r="W230" s="34">
        <f t="shared" si="30"/>
        <v>4134000</v>
      </c>
      <c r="X230" s="34">
        <f t="shared" si="31"/>
        <v>8957000</v>
      </c>
    </row>
    <row r="231" spans="1:24">
      <c r="A231" s="6" t="s">
        <v>244</v>
      </c>
      <c r="B231" t="s">
        <v>332</v>
      </c>
      <c r="C231" s="6" t="s">
        <v>332</v>
      </c>
      <c r="D231" s="6" t="s">
        <v>305</v>
      </c>
      <c r="E231">
        <f t="shared" ca="1" si="25"/>
        <v>23</v>
      </c>
      <c r="F231" s="11">
        <v>37688</v>
      </c>
      <c r="G231" s="9">
        <v>44927</v>
      </c>
      <c r="H231" s="9">
        <v>46752</v>
      </c>
      <c r="I231" s="12">
        <v>250000</v>
      </c>
      <c r="J231" s="6" t="s">
        <v>462</v>
      </c>
      <c r="K231" s="6" t="s">
        <v>502</v>
      </c>
      <c r="L231" s="6">
        <v>3</v>
      </c>
      <c r="M231" s="6">
        <v>39</v>
      </c>
      <c r="N231" s="12">
        <v>3000000</v>
      </c>
      <c r="O231" s="24">
        <f t="shared" si="26"/>
        <v>10500000</v>
      </c>
      <c r="P231" s="6" t="s">
        <v>497</v>
      </c>
      <c r="Q231">
        <f t="shared" ca="1" si="27"/>
        <v>160000</v>
      </c>
      <c r="R231" s="6" t="s">
        <v>503</v>
      </c>
      <c r="S231" s="6">
        <v>1.72</v>
      </c>
      <c r="T231" s="9">
        <f t="shared" ca="1" si="28"/>
        <v>46296</v>
      </c>
      <c r="U231" s="6">
        <f t="shared" ca="1" si="32"/>
        <v>456</v>
      </c>
      <c r="V231" s="6" t="str">
        <f t="shared" ca="1" si="29"/>
        <v>Com Contrato em vigor</v>
      </c>
      <c r="W231" s="34">
        <f t="shared" si="30"/>
        <v>1500000</v>
      </c>
      <c r="X231" s="34">
        <f t="shared" si="31"/>
        <v>3250000</v>
      </c>
    </row>
    <row r="232" spans="1:24">
      <c r="A232" s="6" t="s">
        <v>245</v>
      </c>
      <c r="B232" t="s">
        <v>332</v>
      </c>
      <c r="C232" s="6" t="s">
        <v>332</v>
      </c>
      <c r="D232" s="6" t="s">
        <v>305</v>
      </c>
      <c r="E232">
        <f t="shared" ca="1" si="25"/>
        <v>31</v>
      </c>
      <c r="F232" s="11">
        <v>34792</v>
      </c>
      <c r="G232" s="9">
        <v>44927</v>
      </c>
      <c r="H232" s="9">
        <v>46387</v>
      </c>
      <c r="I232" s="17">
        <v>650000</v>
      </c>
      <c r="J232" s="6" t="s">
        <v>468</v>
      </c>
      <c r="K232" s="6" t="s">
        <v>498</v>
      </c>
      <c r="L232" s="6">
        <v>2</v>
      </c>
      <c r="M232" s="6">
        <v>40</v>
      </c>
      <c r="N232" s="12">
        <v>9500000</v>
      </c>
      <c r="O232" s="24">
        <f t="shared" si="26"/>
        <v>33250000</v>
      </c>
      <c r="P232" s="6" t="s">
        <v>493</v>
      </c>
      <c r="Q232">
        <f t="shared" ca="1" si="27"/>
        <v>100000</v>
      </c>
      <c r="R232" s="6" t="s">
        <v>503</v>
      </c>
      <c r="S232" s="6">
        <v>1.71</v>
      </c>
      <c r="T232" s="9">
        <f t="shared" ca="1" si="28"/>
        <v>46296</v>
      </c>
      <c r="U232" s="6">
        <f t="shared" ca="1" si="32"/>
        <v>91</v>
      </c>
      <c r="V232" s="6" t="str">
        <f t="shared" ca="1" si="29"/>
        <v>Pre contrato</v>
      </c>
      <c r="W232" s="34">
        <f t="shared" si="30"/>
        <v>3900000</v>
      </c>
      <c r="X232" s="34">
        <f t="shared" si="31"/>
        <v>8450000</v>
      </c>
    </row>
    <row r="233" spans="1:24">
      <c r="A233" s="6" t="s">
        <v>246</v>
      </c>
      <c r="B233" t="s">
        <v>332</v>
      </c>
      <c r="C233" s="6" t="s">
        <v>332</v>
      </c>
      <c r="D233" s="6" t="s">
        <v>305</v>
      </c>
      <c r="E233">
        <f t="shared" ca="1" si="25"/>
        <v>26</v>
      </c>
      <c r="F233" s="11">
        <v>36598</v>
      </c>
      <c r="G233" s="9">
        <v>44781</v>
      </c>
      <c r="H233" s="9">
        <v>45657</v>
      </c>
      <c r="I233" s="12">
        <v>250000</v>
      </c>
      <c r="J233" s="6" t="s">
        <v>469</v>
      </c>
      <c r="K233" s="6" t="s">
        <v>498</v>
      </c>
      <c r="L233" s="6">
        <v>0</v>
      </c>
      <c r="M233" s="6">
        <v>0</v>
      </c>
      <c r="N233" s="12">
        <v>3000000</v>
      </c>
      <c r="O233" s="24">
        <f t="shared" si="26"/>
        <v>10500000</v>
      </c>
      <c r="P233" s="6" t="s">
        <v>493</v>
      </c>
      <c r="Q233">
        <f t="shared" ca="1" si="27"/>
        <v>120000</v>
      </c>
      <c r="R233" s="6" t="s">
        <v>506</v>
      </c>
      <c r="S233" s="6">
        <v>1.7</v>
      </c>
      <c r="T233" s="9">
        <f t="shared" ca="1" si="28"/>
        <v>46296</v>
      </c>
      <c r="U233" s="6">
        <f t="shared" ca="1" si="32"/>
        <v>-639</v>
      </c>
      <c r="V233" s="6" t="str">
        <f t="shared" ca="1" si="29"/>
        <v>Pre contrato</v>
      </c>
      <c r="W233" s="34">
        <f t="shared" si="30"/>
        <v>1500000</v>
      </c>
      <c r="X233" s="34">
        <f t="shared" si="31"/>
        <v>3250000</v>
      </c>
    </row>
    <row r="234" spans="1:24">
      <c r="A234" s="6" t="s">
        <v>247</v>
      </c>
      <c r="B234" t="s">
        <v>332</v>
      </c>
      <c r="C234" s="6" t="s">
        <v>332</v>
      </c>
      <c r="D234" s="6" t="s">
        <v>305</v>
      </c>
      <c r="E234">
        <f t="shared" ca="1" si="25"/>
        <v>31</v>
      </c>
      <c r="F234" s="11">
        <v>34793</v>
      </c>
      <c r="G234" s="9">
        <v>45483</v>
      </c>
      <c r="H234" s="9">
        <v>47118</v>
      </c>
      <c r="I234" s="12">
        <v>750000</v>
      </c>
      <c r="J234" s="6" t="s">
        <v>470</v>
      </c>
      <c r="K234" s="6" t="s">
        <v>494</v>
      </c>
      <c r="L234" s="6">
        <v>0</v>
      </c>
      <c r="M234" s="6">
        <v>0</v>
      </c>
      <c r="N234" s="12">
        <v>12000000</v>
      </c>
      <c r="O234" s="24">
        <f t="shared" si="26"/>
        <v>42000000</v>
      </c>
      <c r="P234" s="6" t="s">
        <v>493</v>
      </c>
      <c r="Q234">
        <f t="shared" ca="1" si="27"/>
        <v>100000</v>
      </c>
      <c r="R234" s="6" t="s">
        <v>506</v>
      </c>
      <c r="S234" s="6">
        <v>1.88</v>
      </c>
      <c r="T234" s="9">
        <f t="shared" ca="1" si="28"/>
        <v>46296</v>
      </c>
      <c r="U234" s="6">
        <f t="shared" ca="1" si="32"/>
        <v>822</v>
      </c>
      <c r="V234" s="6" t="str">
        <f t="shared" ca="1" si="29"/>
        <v>Com Contrato em vigor</v>
      </c>
      <c r="W234" s="34">
        <f t="shared" si="30"/>
        <v>4500000</v>
      </c>
      <c r="X234" s="34">
        <f t="shared" si="31"/>
        <v>9750000</v>
      </c>
    </row>
    <row r="235" spans="1:24">
      <c r="A235" s="6" t="s">
        <v>248</v>
      </c>
      <c r="B235" t="s">
        <v>332</v>
      </c>
      <c r="C235" s="6" t="s">
        <v>332</v>
      </c>
      <c r="D235" s="6" t="s">
        <v>342</v>
      </c>
      <c r="E235">
        <f t="shared" ca="1" si="25"/>
        <v>32</v>
      </c>
      <c r="F235" s="11">
        <v>34442</v>
      </c>
      <c r="G235" s="9">
        <v>45300</v>
      </c>
      <c r="H235" s="9">
        <v>46022</v>
      </c>
      <c r="I235" s="12">
        <v>500000</v>
      </c>
      <c r="J235" s="6" t="s">
        <v>430</v>
      </c>
      <c r="K235" s="6" t="s">
        <v>494</v>
      </c>
      <c r="L235" s="6">
        <v>2</v>
      </c>
      <c r="M235" s="6">
        <v>32</v>
      </c>
      <c r="N235" s="12">
        <v>7500000</v>
      </c>
      <c r="O235" s="24">
        <f t="shared" si="26"/>
        <v>26250000</v>
      </c>
      <c r="P235" s="6" t="s">
        <v>493</v>
      </c>
      <c r="Q235">
        <f t="shared" ca="1" si="27"/>
        <v>100000</v>
      </c>
      <c r="R235" s="6" t="s">
        <v>506</v>
      </c>
      <c r="S235" s="6">
        <v>1.72</v>
      </c>
      <c r="T235" s="9">
        <f t="shared" ca="1" si="28"/>
        <v>46296</v>
      </c>
      <c r="U235" s="6">
        <f t="shared" ca="1" si="32"/>
        <v>-274</v>
      </c>
      <c r="V235" s="6" t="str">
        <f t="shared" ca="1" si="29"/>
        <v>Pre contrato</v>
      </c>
      <c r="W235" s="34">
        <f t="shared" si="30"/>
        <v>3000000</v>
      </c>
      <c r="X235" s="34">
        <f t="shared" si="31"/>
        <v>6500000</v>
      </c>
    </row>
    <row r="236" spans="1:24">
      <c r="A236" s="6" t="s">
        <v>249</v>
      </c>
      <c r="B236" t="s">
        <v>332</v>
      </c>
      <c r="C236" s="6" t="s">
        <v>332</v>
      </c>
      <c r="D236" s="6" t="s">
        <v>312</v>
      </c>
      <c r="E236">
        <f t="shared" ca="1" si="25"/>
        <v>24</v>
      </c>
      <c r="F236" s="11">
        <v>37470</v>
      </c>
      <c r="G236" s="9">
        <v>45488</v>
      </c>
      <c r="H236" s="9">
        <v>47299</v>
      </c>
      <c r="I236" s="12">
        <v>350000</v>
      </c>
      <c r="J236" s="6" t="s">
        <v>471</v>
      </c>
      <c r="K236" s="6" t="s">
        <v>494</v>
      </c>
      <c r="L236" s="6">
        <v>0</v>
      </c>
      <c r="M236" s="6">
        <v>0</v>
      </c>
      <c r="N236" s="12">
        <v>4000000</v>
      </c>
      <c r="O236" s="24">
        <f t="shared" si="26"/>
        <v>14000000</v>
      </c>
      <c r="P236" s="6" t="s">
        <v>493</v>
      </c>
      <c r="Q236">
        <f t="shared" ca="1" si="27"/>
        <v>160000</v>
      </c>
      <c r="R236" s="6" t="s">
        <v>503</v>
      </c>
      <c r="S236" s="6">
        <v>1.76</v>
      </c>
      <c r="T236" s="9">
        <f t="shared" ca="1" si="28"/>
        <v>46296</v>
      </c>
      <c r="U236" s="6">
        <f t="shared" ca="1" si="32"/>
        <v>1003</v>
      </c>
      <c r="V236" s="6" t="str">
        <f t="shared" ca="1" si="29"/>
        <v>Com Contrato em vigor</v>
      </c>
      <c r="W236" s="34">
        <f t="shared" si="30"/>
        <v>2100000</v>
      </c>
      <c r="X236" s="34">
        <f t="shared" si="31"/>
        <v>4550000</v>
      </c>
    </row>
    <row r="237" spans="1:24">
      <c r="A237" s="6" t="s">
        <v>250</v>
      </c>
      <c r="B237" t="s">
        <v>332</v>
      </c>
      <c r="C237" s="6" t="s">
        <v>332</v>
      </c>
      <c r="D237" s="6" t="s">
        <v>305</v>
      </c>
      <c r="E237">
        <f t="shared" ca="1" si="25"/>
        <v>25</v>
      </c>
      <c r="F237" s="11">
        <v>37043</v>
      </c>
      <c r="G237" s="9">
        <v>44932</v>
      </c>
      <c r="H237" s="9">
        <v>46022</v>
      </c>
      <c r="I237" s="12">
        <v>175000</v>
      </c>
      <c r="J237" s="6" t="s">
        <v>472</v>
      </c>
      <c r="K237" s="6" t="s">
        <v>494</v>
      </c>
      <c r="L237" s="6">
        <v>0</v>
      </c>
      <c r="M237" s="6">
        <v>0</v>
      </c>
      <c r="N237" s="12">
        <v>1200000</v>
      </c>
      <c r="O237" s="24">
        <f t="shared" si="26"/>
        <v>4200000</v>
      </c>
      <c r="P237" s="6" t="s">
        <v>497</v>
      </c>
      <c r="Q237">
        <f t="shared" ca="1" si="27"/>
        <v>120000</v>
      </c>
      <c r="R237" s="6" t="s">
        <v>503</v>
      </c>
      <c r="S237" s="6">
        <v>1.82</v>
      </c>
      <c r="T237" s="9">
        <f t="shared" ca="1" si="28"/>
        <v>46296</v>
      </c>
      <c r="U237" s="6">
        <f t="shared" ca="1" si="32"/>
        <v>-274</v>
      </c>
      <c r="V237" s="6" t="str">
        <f t="shared" ca="1" si="29"/>
        <v>Pre contrato</v>
      </c>
      <c r="W237" s="34">
        <f t="shared" si="30"/>
        <v>1050000</v>
      </c>
      <c r="X237" s="34">
        <f t="shared" si="31"/>
        <v>2275000</v>
      </c>
    </row>
    <row r="238" spans="1:24">
      <c r="A238" s="6" t="s">
        <v>251</v>
      </c>
      <c r="B238" t="s">
        <v>332</v>
      </c>
      <c r="C238" s="6" t="s">
        <v>332</v>
      </c>
      <c r="D238" s="6" t="s">
        <v>305</v>
      </c>
      <c r="E238">
        <f t="shared" ca="1" si="25"/>
        <v>33</v>
      </c>
      <c r="F238" s="11">
        <v>34016</v>
      </c>
      <c r="G238" s="9">
        <v>45117</v>
      </c>
      <c r="H238" s="9">
        <v>45657</v>
      </c>
      <c r="I238" s="12">
        <v>450000</v>
      </c>
      <c r="J238" s="6" t="s">
        <v>390</v>
      </c>
      <c r="K238" s="6" t="s">
        <v>494</v>
      </c>
      <c r="L238" s="6">
        <v>0</v>
      </c>
      <c r="M238" s="6">
        <v>0</v>
      </c>
      <c r="N238" s="12">
        <v>2500000</v>
      </c>
      <c r="O238" s="24">
        <f t="shared" si="26"/>
        <v>8750000</v>
      </c>
      <c r="P238" s="6" t="s">
        <v>493</v>
      </c>
      <c r="Q238">
        <f t="shared" ca="1" si="27"/>
        <v>100000</v>
      </c>
      <c r="R238" s="6" t="s">
        <v>506</v>
      </c>
      <c r="S238" s="6">
        <v>1.81</v>
      </c>
      <c r="T238" s="9">
        <f t="shared" ca="1" si="28"/>
        <v>46296</v>
      </c>
      <c r="U238" s="6">
        <f t="shared" ca="1" si="32"/>
        <v>-639</v>
      </c>
      <c r="V238" s="6" t="str">
        <f t="shared" ca="1" si="29"/>
        <v>Pre contrato</v>
      </c>
      <c r="W238" s="34">
        <f t="shared" si="30"/>
        <v>2700000</v>
      </c>
      <c r="X238" s="34">
        <f t="shared" si="31"/>
        <v>5850000</v>
      </c>
    </row>
    <row r="239" spans="1:24">
      <c r="A239" s="6" t="s">
        <v>252</v>
      </c>
      <c r="B239" t="s">
        <v>332</v>
      </c>
      <c r="C239" s="6" t="s">
        <v>332</v>
      </c>
      <c r="D239" s="6" t="s">
        <v>305</v>
      </c>
      <c r="E239">
        <f t="shared" ca="1" si="25"/>
        <v>28</v>
      </c>
      <c r="F239" s="11">
        <v>35783</v>
      </c>
      <c r="G239" s="9">
        <v>45483</v>
      </c>
      <c r="H239" s="9">
        <v>47299</v>
      </c>
      <c r="I239" s="12">
        <v>950000</v>
      </c>
      <c r="J239" s="6" t="s">
        <v>347</v>
      </c>
      <c r="K239" s="6" t="s">
        <v>499</v>
      </c>
      <c r="L239" s="6">
        <v>0</v>
      </c>
      <c r="M239" s="6">
        <v>0</v>
      </c>
      <c r="N239" s="12">
        <v>18000000</v>
      </c>
      <c r="O239" s="24">
        <f t="shared" si="26"/>
        <v>63000000</v>
      </c>
      <c r="P239" s="6" t="s">
        <v>493</v>
      </c>
      <c r="Q239">
        <f t="shared" ca="1" si="27"/>
        <v>120000</v>
      </c>
      <c r="R239" s="6" t="s">
        <v>505</v>
      </c>
      <c r="S239" s="6">
        <v>1.75</v>
      </c>
      <c r="T239" s="9">
        <f t="shared" ca="1" si="28"/>
        <v>46296</v>
      </c>
      <c r="U239" s="6">
        <f t="shared" ca="1" si="32"/>
        <v>1003</v>
      </c>
      <c r="V239" s="6" t="str">
        <f t="shared" ca="1" si="29"/>
        <v>Com Contrato em vigor</v>
      </c>
      <c r="W239" s="34">
        <f t="shared" si="30"/>
        <v>5700000</v>
      </c>
      <c r="X239" s="34">
        <f t="shared" si="31"/>
        <v>12350000</v>
      </c>
    </row>
    <row r="240" spans="1:24">
      <c r="A240" s="6" t="s">
        <v>253</v>
      </c>
      <c r="B240" t="s">
        <v>332</v>
      </c>
      <c r="C240" s="6" t="s">
        <v>332</v>
      </c>
      <c r="D240" s="6" t="s">
        <v>305</v>
      </c>
      <c r="E240">
        <f t="shared" ca="1" si="25"/>
        <v>33</v>
      </c>
      <c r="F240" s="11">
        <v>34111</v>
      </c>
      <c r="G240" s="9">
        <v>44927</v>
      </c>
      <c r="H240" s="9">
        <v>45657</v>
      </c>
      <c r="I240" s="12">
        <v>350000</v>
      </c>
      <c r="J240" s="6" t="s">
        <v>377</v>
      </c>
      <c r="K240" s="6" t="s">
        <v>499</v>
      </c>
      <c r="L240" s="6">
        <v>0</v>
      </c>
      <c r="M240" s="6">
        <v>0</v>
      </c>
      <c r="N240" s="12">
        <v>750000</v>
      </c>
      <c r="O240" s="24">
        <f t="shared" si="26"/>
        <v>2625000</v>
      </c>
      <c r="P240" s="6" t="s">
        <v>493</v>
      </c>
      <c r="Q240">
        <f t="shared" ca="1" si="27"/>
        <v>100000</v>
      </c>
      <c r="R240" s="6" t="s">
        <v>507</v>
      </c>
      <c r="S240" s="6">
        <v>1.69</v>
      </c>
      <c r="T240" s="9">
        <f t="shared" ca="1" si="28"/>
        <v>46296</v>
      </c>
      <c r="U240" s="6">
        <f t="shared" ca="1" si="32"/>
        <v>-639</v>
      </c>
      <c r="V240" s="6" t="str">
        <f t="shared" ca="1" si="29"/>
        <v>Pre contrato</v>
      </c>
      <c r="W240" s="34">
        <f t="shared" si="30"/>
        <v>2100000</v>
      </c>
      <c r="X240" s="34">
        <f t="shared" si="31"/>
        <v>4550000</v>
      </c>
    </row>
    <row r="241" spans="1:24">
      <c r="A241" s="6" t="s">
        <v>254</v>
      </c>
      <c r="B241" t="s">
        <v>332</v>
      </c>
      <c r="C241" s="6" t="s">
        <v>332</v>
      </c>
      <c r="D241" s="6" t="s">
        <v>305</v>
      </c>
      <c r="E241">
        <f t="shared" ca="1" si="25"/>
        <v>22</v>
      </c>
      <c r="F241" s="11">
        <v>38035</v>
      </c>
      <c r="G241" s="9">
        <v>45292</v>
      </c>
      <c r="H241" s="9">
        <v>46022</v>
      </c>
      <c r="I241" s="12">
        <v>115000</v>
      </c>
      <c r="J241" s="6" t="s">
        <v>473</v>
      </c>
      <c r="K241" s="6" t="s">
        <v>499</v>
      </c>
      <c r="L241" s="6">
        <v>0</v>
      </c>
      <c r="M241" s="6">
        <v>0</v>
      </c>
      <c r="N241" s="12">
        <v>250000</v>
      </c>
      <c r="O241" s="24">
        <f t="shared" si="26"/>
        <v>875000</v>
      </c>
      <c r="P241" s="6" t="s">
        <v>497</v>
      </c>
      <c r="Q241">
        <f t="shared" ca="1" si="27"/>
        <v>160000</v>
      </c>
      <c r="R241" s="6" t="s">
        <v>506</v>
      </c>
      <c r="S241" s="6">
        <v>1.73</v>
      </c>
      <c r="T241" s="9">
        <f t="shared" ca="1" si="28"/>
        <v>46296</v>
      </c>
      <c r="U241" s="6">
        <f t="shared" ca="1" si="32"/>
        <v>-274</v>
      </c>
      <c r="V241" s="6" t="str">
        <f t="shared" ca="1" si="29"/>
        <v>Pre contrato</v>
      </c>
      <c r="W241" s="34">
        <f t="shared" si="30"/>
        <v>690000</v>
      </c>
      <c r="X241" s="34">
        <f t="shared" si="31"/>
        <v>1495000</v>
      </c>
    </row>
    <row r="242" spans="1:24">
      <c r="A242" s="6" t="s">
        <v>255</v>
      </c>
      <c r="B242" t="s">
        <v>332</v>
      </c>
      <c r="C242" s="6" t="s">
        <v>332</v>
      </c>
      <c r="D242" s="6" t="s">
        <v>305</v>
      </c>
      <c r="E242">
        <f t="shared" ca="1" si="25"/>
        <v>22</v>
      </c>
      <c r="F242" s="11">
        <v>37988</v>
      </c>
      <c r="G242" s="9">
        <v>45292</v>
      </c>
      <c r="H242" s="9">
        <v>46752</v>
      </c>
      <c r="I242" s="12">
        <v>78000</v>
      </c>
      <c r="J242" s="6" t="s">
        <v>462</v>
      </c>
      <c r="K242" s="6" t="s">
        <v>499</v>
      </c>
      <c r="L242" s="6">
        <v>0</v>
      </c>
      <c r="M242" s="6">
        <v>0</v>
      </c>
      <c r="N242" s="12">
        <v>400000</v>
      </c>
      <c r="O242" s="24">
        <f t="shared" si="26"/>
        <v>1400000</v>
      </c>
      <c r="P242" s="6" t="s">
        <v>497</v>
      </c>
      <c r="Q242">
        <f t="shared" ca="1" si="27"/>
        <v>160000</v>
      </c>
      <c r="R242" s="6" t="s">
        <v>506</v>
      </c>
      <c r="S242" s="6">
        <v>1.86</v>
      </c>
      <c r="T242" s="9">
        <f t="shared" ca="1" si="28"/>
        <v>46296</v>
      </c>
      <c r="U242" s="6">
        <f t="shared" ca="1" si="32"/>
        <v>456</v>
      </c>
      <c r="V242" s="6" t="str">
        <f t="shared" ca="1" si="29"/>
        <v>Com Contrato em vigor</v>
      </c>
      <c r="W242" s="34">
        <f t="shared" si="30"/>
        <v>468000</v>
      </c>
      <c r="X242" s="34">
        <f t="shared" si="31"/>
        <v>1014000</v>
      </c>
    </row>
    <row r="243" spans="1:24">
      <c r="A243" s="6" t="s">
        <v>256</v>
      </c>
      <c r="B243" t="s">
        <v>332</v>
      </c>
      <c r="C243" s="6" t="s">
        <v>332</v>
      </c>
      <c r="D243" s="6" t="s">
        <v>305</v>
      </c>
      <c r="E243">
        <f t="shared" ca="1" si="25"/>
        <v>22</v>
      </c>
      <c r="F243" s="11">
        <v>38055</v>
      </c>
      <c r="G243" s="9">
        <v>45536</v>
      </c>
      <c r="H243" s="9">
        <v>46387</v>
      </c>
      <c r="I243" s="17">
        <v>85000</v>
      </c>
      <c r="J243" s="6" t="s">
        <v>466</v>
      </c>
      <c r="K243" s="6" t="s">
        <v>499</v>
      </c>
      <c r="L243" s="6">
        <v>0</v>
      </c>
      <c r="M243" s="6">
        <v>0</v>
      </c>
      <c r="N243" s="12">
        <v>350000</v>
      </c>
      <c r="O243" s="24">
        <f t="shared" si="26"/>
        <v>1225000</v>
      </c>
      <c r="P243" s="6" t="s">
        <v>493</v>
      </c>
      <c r="Q243">
        <f t="shared" ca="1" si="27"/>
        <v>160000</v>
      </c>
      <c r="R243" s="6" t="s">
        <v>506</v>
      </c>
      <c r="S243" s="6">
        <v>1.7</v>
      </c>
      <c r="T243" s="9">
        <f t="shared" ca="1" si="28"/>
        <v>46296</v>
      </c>
      <c r="U243" s="6">
        <f t="shared" ca="1" si="32"/>
        <v>91</v>
      </c>
      <c r="V243" s="6" t="str">
        <f t="shared" ca="1" si="29"/>
        <v>Pre contrato</v>
      </c>
      <c r="W243" s="34">
        <f t="shared" si="30"/>
        <v>510000</v>
      </c>
      <c r="X243" s="34">
        <f t="shared" si="31"/>
        <v>1105000</v>
      </c>
    </row>
    <row r="244" spans="1:24">
      <c r="A244" s="6" t="s">
        <v>257</v>
      </c>
      <c r="B244" t="s">
        <v>332</v>
      </c>
      <c r="C244" s="6" t="s">
        <v>335</v>
      </c>
      <c r="D244" s="6" t="s">
        <v>342</v>
      </c>
      <c r="E244">
        <f t="shared" ca="1" si="25"/>
        <v>26</v>
      </c>
      <c r="F244" s="11">
        <v>36755</v>
      </c>
      <c r="G244" s="9">
        <v>45352</v>
      </c>
      <c r="H244" s="9">
        <v>46022</v>
      </c>
      <c r="I244" s="12">
        <v>670000</v>
      </c>
      <c r="J244" s="6" t="s">
        <v>474</v>
      </c>
      <c r="K244" s="6" t="s">
        <v>499</v>
      </c>
      <c r="L244" s="6">
        <v>0</v>
      </c>
      <c r="M244" s="6">
        <v>0</v>
      </c>
      <c r="N244" s="12">
        <v>10000000</v>
      </c>
      <c r="O244" s="24">
        <f t="shared" si="26"/>
        <v>35000000</v>
      </c>
      <c r="P244" s="6" t="s">
        <v>497</v>
      </c>
      <c r="Q244">
        <f t="shared" ca="1" si="27"/>
        <v>120000</v>
      </c>
      <c r="R244" s="6" t="s">
        <v>503</v>
      </c>
      <c r="S244" s="6">
        <v>1.72</v>
      </c>
      <c r="T244" s="9">
        <f t="shared" ca="1" si="28"/>
        <v>46296</v>
      </c>
      <c r="U244" s="6">
        <f t="shared" ca="1" si="32"/>
        <v>-274</v>
      </c>
      <c r="V244" s="6" t="str">
        <f t="shared" ca="1" si="29"/>
        <v>Pre contrato</v>
      </c>
      <c r="W244" s="34">
        <f t="shared" si="30"/>
        <v>4020000</v>
      </c>
      <c r="X244" s="34">
        <f t="shared" si="31"/>
        <v>8710000</v>
      </c>
    </row>
    <row r="245" spans="1:24">
      <c r="A245" s="6" t="s">
        <v>258</v>
      </c>
      <c r="B245" t="s">
        <v>332</v>
      </c>
      <c r="C245" s="6" t="s">
        <v>332</v>
      </c>
      <c r="D245" s="6" t="s">
        <v>305</v>
      </c>
      <c r="E245">
        <f t="shared" ca="1" si="25"/>
        <v>30</v>
      </c>
      <c r="F245" s="11">
        <v>35190</v>
      </c>
      <c r="G245" s="9">
        <v>45474</v>
      </c>
      <c r="H245" s="9">
        <v>46203</v>
      </c>
      <c r="I245" s="12">
        <v>860000</v>
      </c>
      <c r="J245" s="6" t="s">
        <v>475</v>
      </c>
      <c r="K245" s="6" t="s">
        <v>499</v>
      </c>
      <c r="L245" s="6">
        <v>1</v>
      </c>
      <c r="M245" s="6">
        <v>14</v>
      </c>
      <c r="N245" s="12">
        <v>30000000</v>
      </c>
      <c r="O245" s="24">
        <f t="shared" si="26"/>
        <v>105000000</v>
      </c>
      <c r="P245" s="6" t="s">
        <v>497</v>
      </c>
      <c r="Q245">
        <f t="shared" ca="1" si="27"/>
        <v>120000</v>
      </c>
      <c r="R245" s="6" t="s">
        <v>506</v>
      </c>
      <c r="S245" s="6">
        <v>1.75</v>
      </c>
      <c r="T245" s="9">
        <f t="shared" ca="1" si="28"/>
        <v>46296</v>
      </c>
      <c r="U245" s="6">
        <f t="shared" ca="1" si="32"/>
        <v>-93</v>
      </c>
      <c r="V245" s="6" t="str">
        <f t="shared" ca="1" si="29"/>
        <v>Pre contrato</v>
      </c>
      <c r="W245" s="34">
        <f t="shared" si="30"/>
        <v>5160000</v>
      </c>
      <c r="X245" s="34">
        <f t="shared" si="31"/>
        <v>11180000</v>
      </c>
    </row>
    <row r="246" spans="1:24">
      <c r="A246" s="6" t="s">
        <v>259</v>
      </c>
      <c r="B246" t="s">
        <v>332</v>
      </c>
      <c r="C246" s="6" t="s">
        <v>332</v>
      </c>
      <c r="D246" s="6" t="s">
        <v>305</v>
      </c>
      <c r="E246">
        <f t="shared" ca="1" si="25"/>
        <v>28</v>
      </c>
      <c r="F246" s="11">
        <v>35838</v>
      </c>
      <c r="G246" s="9">
        <v>44927</v>
      </c>
      <c r="H246" s="9">
        <v>46022</v>
      </c>
      <c r="I246" s="12">
        <v>430000</v>
      </c>
      <c r="J246" s="6" t="s">
        <v>348</v>
      </c>
      <c r="K246" s="6" t="s">
        <v>499</v>
      </c>
      <c r="L246" s="6">
        <v>0</v>
      </c>
      <c r="M246" s="6">
        <v>0</v>
      </c>
      <c r="N246" s="12">
        <v>7500000</v>
      </c>
      <c r="O246" s="24">
        <f t="shared" si="26"/>
        <v>26250000</v>
      </c>
      <c r="P246" s="6" t="s">
        <v>493</v>
      </c>
      <c r="Q246">
        <f t="shared" ca="1" si="27"/>
        <v>120000</v>
      </c>
      <c r="R246" s="6" t="s">
        <v>506</v>
      </c>
      <c r="S246" s="6">
        <v>1.75</v>
      </c>
      <c r="T246" s="9">
        <f t="shared" ca="1" si="28"/>
        <v>46296</v>
      </c>
      <c r="U246" s="6">
        <f t="shared" ca="1" si="32"/>
        <v>-274</v>
      </c>
      <c r="V246" s="6" t="str">
        <f t="shared" ca="1" si="29"/>
        <v>Pre contrato</v>
      </c>
      <c r="W246" s="34">
        <f t="shared" si="30"/>
        <v>2580000</v>
      </c>
      <c r="X246" s="34">
        <f t="shared" si="31"/>
        <v>5590000</v>
      </c>
    </row>
    <row r="247" spans="1:24">
      <c r="A247" s="6" t="s">
        <v>260</v>
      </c>
      <c r="B247" t="s">
        <v>332</v>
      </c>
      <c r="C247" s="6" t="s">
        <v>336</v>
      </c>
      <c r="D247" s="6" t="s">
        <v>305</v>
      </c>
      <c r="E247">
        <f t="shared" ca="1" si="25"/>
        <v>24</v>
      </c>
      <c r="F247" s="11">
        <v>37502</v>
      </c>
      <c r="G247" s="9">
        <v>45292</v>
      </c>
      <c r="H247" s="9">
        <v>45657</v>
      </c>
      <c r="I247" s="12">
        <v>650000</v>
      </c>
      <c r="J247" s="6" t="s">
        <v>347</v>
      </c>
      <c r="K247" s="6" t="s">
        <v>500</v>
      </c>
      <c r="L247" s="6">
        <v>3</v>
      </c>
      <c r="M247" s="6">
        <v>38</v>
      </c>
      <c r="N247" s="12">
        <v>21000000</v>
      </c>
      <c r="O247" s="24">
        <f t="shared" si="26"/>
        <v>73500000</v>
      </c>
      <c r="P247" s="6" t="s">
        <v>493</v>
      </c>
      <c r="Q247">
        <f t="shared" ca="1" si="27"/>
        <v>160000</v>
      </c>
      <c r="R247" s="6" t="s">
        <v>505</v>
      </c>
      <c r="S247" s="6">
        <v>1.76</v>
      </c>
      <c r="T247" s="9">
        <f t="shared" ca="1" si="28"/>
        <v>46296</v>
      </c>
      <c r="U247" s="6">
        <f t="shared" ca="1" si="32"/>
        <v>-639</v>
      </c>
      <c r="V247" s="6" t="str">
        <f t="shared" ca="1" si="29"/>
        <v>Pre contrato</v>
      </c>
      <c r="W247" s="34">
        <f t="shared" si="30"/>
        <v>3900000</v>
      </c>
      <c r="X247" s="34">
        <f t="shared" si="31"/>
        <v>8450000</v>
      </c>
    </row>
    <row r="248" spans="1:24">
      <c r="A248" s="6" t="s">
        <v>261</v>
      </c>
      <c r="B248" t="s">
        <v>332</v>
      </c>
      <c r="C248" s="6" t="s">
        <v>332</v>
      </c>
      <c r="D248" s="6" t="s">
        <v>305</v>
      </c>
      <c r="E248">
        <f t="shared" ca="1" si="25"/>
        <v>24</v>
      </c>
      <c r="F248" s="11">
        <v>37280</v>
      </c>
      <c r="G248" s="9">
        <v>45483</v>
      </c>
      <c r="H248" s="9">
        <v>47118</v>
      </c>
      <c r="I248" s="12">
        <v>589000</v>
      </c>
      <c r="J248" s="6" t="s">
        <v>400</v>
      </c>
      <c r="K248" s="6" t="s">
        <v>500</v>
      </c>
      <c r="L248" s="6">
        <v>1</v>
      </c>
      <c r="M248" s="6">
        <v>63</v>
      </c>
      <c r="N248" s="12">
        <v>14000000</v>
      </c>
      <c r="O248" s="24">
        <f t="shared" si="26"/>
        <v>49000000</v>
      </c>
      <c r="P248" s="6" t="s">
        <v>493</v>
      </c>
      <c r="Q248">
        <f t="shared" ca="1" si="27"/>
        <v>160000</v>
      </c>
      <c r="R248" s="6" t="s">
        <v>505</v>
      </c>
      <c r="S248" s="6">
        <v>1.82</v>
      </c>
      <c r="T248" s="9">
        <f t="shared" ca="1" si="28"/>
        <v>46296</v>
      </c>
      <c r="U248" s="6">
        <f t="shared" ca="1" si="32"/>
        <v>822</v>
      </c>
      <c r="V248" s="6" t="str">
        <f t="shared" ca="1" si="29"/>
        <v>Com Contrato em vigor</v>
      </c>
      <c r="W248" s="34">
        <f t="shared" si="30"/>
        <v>3534000</v>
      </c>
      <c r="X248" s="34">
        <f t="shared" si="31"/>
        <v>7657000</v>
      </c>
    </row>
    <row r="249" spans="1:24">
      <c r="A249" s="6" t="s">
        <v>262</v>
      </c>
      <c r="B249" t="s">
        <v>332</v>
      </c>
      <c r="C249" s="6" t="s">
        <v>332</v>
      </c>
      <c r="D249" s="6" t="s">
        <v>342</v>
      </c>
      <c r="E249">
        <f t="shared" ca="1" si="25"/>
        <v>32</v>
      </c>
      <c r="F249" s="11">
        <v>34574</v>
      </c>
      <c r="G249" s="9">
        <v>45302</v>
      </c>
      <c r="H249" s="9">
        <v>46022</v>
      </c>
      <c r="I249" s="12">
        <v>346000</v>
      </c>
      <c r="J249" s="6" t="s">
        <v>348</v>
      </c>
      <c r="K249" s="6" t="s">
        <v>500</v>
      </c>
      <c r="L249" s="6">
        <v>1</v>
      </c>
      <c r="M249" s="6">
        <v>76</v>
      </c>
      <c r="N249" s="12">
        <v>2400000</v>
      </c>
      <c r="O249" s="24">
        <f t="shared" si="26"/>
        <v>8400000</v>
      </c>
      <c r="P249" s="6" t="s">
        <v>493</v>
      </c>
      <c r="Q249">
        <f t="shared" ca="1" si="27"/>
        <v>100000</v>
      </c>
      <c r="R249" s="6" t="s">
        <v>503</v>
      </c>
      <c r="S249" s="6">
        <v>1.86</v>
      </c>
      <c r="T249" s="9">
        <f t="shared" ca="1" si="28"/>
        <v>46296</v>
      </c>
      <c r="U249" s="6">
        <f t="shared" ref="U249:U265" ca="1" si="33">_xlfn.DAYS(H249,T249)</f>
        <v>-274</v>
      </c>
      <c r="V249" s="6" t="str">
        <f t="shared" ca="1" si="29"/>
        <v>Pre contrato</v>
      </c>
      <c r="W249" s="34">
        <f t="shared" si="30"/>
        <v>2076000</v>
      </c>
      <c r="X249" s="34">
        <f t="shared" si="31"/>
        <v>4498000</v>
      </c>
    </row>
    <row r="250" spans="1:24">
      <c r="A250" s="6" t="s">
        <v>263</v>
      </c>
      <c r="B250" t="s">
        <v>332</v>
      </c>
      <c r="C250" s="6" t="s">
        <v>332</v>
      </c>
      <c r="D250" s="6" t="s">
        <v>342</v>
      </c>
      <c r="E250">
        <f t="shared" ca="1" si="25"/>
        <v>28</v>
      </c>
      <c r="F250" s="11">
        <v>35936</v>
      </c>
      <c r="G250" s="9">
        <v>45483</v>
      </c>
      <c r="H250" s="9">
        <v>46934</v>
      </c>
      <c r="I250" s="12">
        <v>750000</v>
      </c>
      <c r="J250" s="6" t="s">
        <v>464</v>
      </c>
      <c r="K250" s="6" t="s">
        <v>500</v>
      </c>
      <c r="L250" s="6">
        <v>0</v>
      </c>
      <c r="M250" s="6">
        <v>0</v>
      </c>
      <c r="N250" s="12">
        <v>3500000</v>
      </c>
      <c r="O250" s="24">
        <f t="shared" si="26"/>
        <v>12250000</v>
      </c>
      <c r="P250" s="6" t="s">
        <v>493</v>
      </c>
      <c r="Q250">
        <f t="shared" ca="1" si="27"/>
        <v>120000</v>
      </c>
      <c r="R250" s="6" t="s">
        <v>503</v>
      </c>
      <c r="S250" s="6">
        <v>1.81</v>
      </c>
      <c r="T250" s="9">
        <f t="shared" ca="1" si="28"/>
        <v>46296</v>
      </c>
      <c r="U250" s="6">
        <f t="shared" ca="1" si="33"/>
        <v>638</v>
      </c>
      <c r="V250" s="6" t="str">
        <f t="shared" ca="1" si="29"/>
        <v>Com Contrato em vigor</v>
      </c>
      <c r="W250" s="34">
        <f t="shared" si="30"/>
        <v>4500000</v>
      </c>
      <c r="X250" s="34">
        <f t="shared" si="31"/>
        <v>9750000</v>
      </c>
    </row>
    <row r="251" spans="1:24">
      <c r="A251" s="6" t="s">
        <v>264</v>
      </c>
      <c r="B251" t="s">
        <v>332</v>
      </c>
      <c r="C251" s="6" t="s">
        <v>332</v>
      </c>
      <c r="D251" s="6" t="s">
        <v>305</v>
      </c>
      <c r="E251">
        <f t="shared" ca="1" si="25"/>
        <v>34</v>
      </c>
      <c r="F251" s="11">
        <v>33698</v>
      </c>
      <c r="G251" s="9">
        <v>45302</v>
      </c>
      <c r="H251" s="9">
        <v>45657</v>
      </c>
      <c r="I251" s="12">
        <v>2000000</v>
      </c>
      <c r="J251" s="6" t="s">
        <v>476</v>
      </c>
      <c r="K251" s="6" t="s">
        <v>500</v>
      </c>
      <c r="L251" s="6">
        <v>0</v>
      </c>
      <c r="M251" s="6">
        <v>0</v>
      </c>
      <c r="N251" s="12">
        <v>1000000</v>
      </c>
      <c r="O251" s="24">
        <f t="shared" si="26"/>
        <v>3500000</v>
      </c>
      <c r="P251" s="6" t="s">
        <v>493</v>
      </c>
      <c r="Q251">
        <f t="shared" ca="1" si="27"/>
        <v>100000</v>
      </c>
      <c r="R251" s="6" t="s">
        <v>506</v>
      </c>
      <c r="S251" s="6">
        <v>1.79</v>
      </c>
      <c r="T251" s="9">
        <f t="shared" ca="1" si="28"/>
        <v>46296</v>
      </c>
      <c r="U251" s="6">
        <f t="shared" ca="1" si="33"/>
        <v>-639</v>
      </c>
      <c r="V251" s="6" t="str">
        <f t="shared" ca="1" si="29"/>
        <v>Pre contrato</v>
      </c>
      <c r="W251" s="34">
        <f t="shared" si="30"/>
        <v>12000000</v>
      </c>
      <c r="X251" s="34">
        <f t="shared" si="31"/>
        <v>26000000</v>
      </c>
    </row>
    <row r="252" spans="1:24">
      <c r="A252" s="6" t="s">
        <v>265</v>
      </c>
      <c r="B252" t="s">
        <v>337</v>
      </c>
      <c r="C252" s="6" t="s">
        <v>337</v>
      </c>
      <c r="D252" s="6" t="s">
        <v>305</v>
      </c>
      <c r="E252">
        <f t="shared" ca="1" si="25"/>
        <v>38</v>
      </c>
      <c r="F252" s="13">
        <v>32099</v>
      </c>
      <c r="G252" s="9">
        <v>44562</v>
      </c>
      <c r="H252" s="9">
        <v>45657</v>
      </c>
      <c r="I252" s="12">
        <v>460000</v>
      </c>
      <c r="J252" s="6" t="s">
        <v>348</v>
      </c>
      <c r="K252" s="6" t="s">
        <v>495</v>
      </c>
      <c r="L252" s="6">
        <v>0</v>
      </c>
      <c r="M252" s="6">
        <v>0</v>
      </c>
      <c r="N252" s="12">
        <v>500000</v>
      </c>
      <c r="O252" s="24">
        <f t="shared" si="26"/>
        <v>1750000</v>
      </c>
      <c r="P252" s="6" t="s">
        <v>493</v>
      </c>
      <c r="Q252">
        <f t="shared" ca="1" si="27"/>
        <v>100000</v>
      </c>
      <c r="R252" s="6" t="s">
        <v>506</v>
      </c>
      <c r="S252" s="6">
        <v>1.88</v>
      </c>
      <c r="T252" s="9">
        <f t="shared" ca="1" si="28"/>
        <v>46296</v>
      </c>
      <c r="U252" s="6">
        <f t="shared" ca="1" si="33"/>
        <v>-639</v>
      </c>
      <c r="V252" s="6" t="str">
        <f t="shared" ca="1" si="29"/>
        <v>Pre contrato</v>
      </c>
      <c r="W252" s="34">
        <f t="shared" si="30"/>
        <v>2760000</v>
      </c>
      <c r="X252" s="34">
        <f t="shared" si="31"/>
        <v>5980000</v>
      </c>
    </row>
    <row r="253" spans="1:24">
      <c r="A253" s="6" t="s">
        <v>266</v>
      </c>
      <c r="B253" t="s">
        <v>337</v>
      </c>
      <c r="C253" s="6" t="s">
        <v>337</v>
      </c>
      <c r="D253" s="6" t="s">
        <v>305</v>
      </c>
      <c r="E253">
        <f t="shared" ca="1" si="25"/>
        <v>34</v>
      </c>
      <c r="F253" s="11">
        <v>33783</v>
      </c>
      <c r="G253" s="9">
        <v>45301</v>
      </c>
      <c r="H253" s="9">
        <v>46387</v>
      </c>
      <c r="I253" s="12">
        <v>130000</v>
      </c>
      <c r="J253" s="6" t="s">
        <v>376</v>
      </c>
      <c r="K253" s="6" t="s">
        <v>495</v>
      </c>
      <c r="L253" s="6">
        <v>0</v>
      </c>
      <c r="M253" s="6">
        <v>0</v>
      </c>
      <c r="N253" s="12">
        <v>300000</v>
      </c>
      <c r="O253" s="24">
        <f t="shared" si="26"/>
        <v>1050000</v>
      </c>
      <c r="P253" s="6" t="s">
        <v>493</v>
      </c>
      <c r="Q253">
        <f t="shared" ca="1" si="27"/>
        <v>100000</v>
      </c>
      <c r="R253" s="6" t="s">
        <v>503</v>
      </c>
      <c r="S253" s="6">
        <v>1.92</v>
      </c>
      <c r="T253" s="9">
        <f t="shared" ca="1" si="28"/>
        <v>46296</v>
      </c>
      <c r="U253" s="6">
        <f t="shared" ca="1" si="33"/>
        <v>91</v>
      </c>
      <c r="V253" s="6" t="str">
        <f t="shared" ca="1" si="29"/>
        <v>Pre contrato</v>
      </c>
      <c r="W253" s="34">
        <f t="shared" si="30"/>
        <v>780000</v>
      </c>
      <c r="X253" s="34">
        <f t="shared" si="31"/>
        <v>1690000</v>
      </c>
    </row>
    <row r="254" spans="1:24">
      <c r="A254" s="6" t="s">
        <v>267</v>
      </c>
      <c r="B254" t="s">
        <v>337</v>
      </c>
      <c r="C254" s="10" t="s">
        <v>337</v>
      </c>
      <c r="D254" s="10" t="s">
        <v>305</v>
      </c>
      <c r="E254">
        <f t="shared" ca="1" si="25"/>
        <v>32</v>
      </c>
      <c r="F254" s="11">
        <v>34403</v>
      </c>
      <c r="G254" s="9">
        <v>45313</v>
      </c>
      <c r="H254" s="9">
        <v>46387</v>
      </c>
      <c r="I254" s="12">
        <v>200000</v>
      </c>
      <c r="J254" s="6" t="s">
        <v>477</v>
      </c>
      <c r="K254" s="6" t="s">
        <v>492</v>
      </c>
      <c r="L254" s="6">
        <v>2</v>
      </c>
      <c r="M254" s="6">
        <v>23</v>
      </c>
      <c r="N254" s="12">
        <v>2000000</v>
      </c>
      <c r="O254" s="24">
        <f t="shared" si="26"/>
        <v>7000000</v>
      </c>
      <c r="P254" s="6" t="s">
        <v>497</v>
      </c>
      <c r="Q254">
        <f t="shared" ca="1" si="27"/>
        <v>100000</v>
      </c>
      <c r="R254" s="6" t="s">
        <v>503</v>
      </c>
      <c r="S254" s="6">
        <v>1.86</v>
      </c>
      <c r="T254" s="9">
        <f t="shared" ca="1" si="28"/>
        <v>46296</v>
      </c>
      <c r="U254" s="6">
        <f t="shared" ca="1" si="33"/>
        <v>91</v>
      </c>
      <c r="V254" s="6" t="str">
        <f t="shared" ca="1" si="29"/>
        <v>Pre contrato</v>
      </c>
      <c r="W254" s="34">
        <f t="shared" si="30"/>
        <v>1200000</v>
      </c>
      <c r="X254" s="34">
        <f t="shared" si="31"/>
        <v>2600000</v>
      </c>
    </row>
    <row r="255" spans="1:24">
      <c r="A255" s="6" t="s">
        <v>268</v>
      </c>
      <c r="B255" t="s">
        <v>337</v>
      </c>
      <c r="C255" s="10" t="s">
        <v>337</v>
      </c>
      <c r="D255" s="10" t="s">
        <v>305</v>
      </c>
      <c r="E255">
        <f t="shared" ca="1" si="25"/>
        <v>35</v>
      </c>
      <c r="F255" s="11">
        <v>33344</v>
      </c>
      <c r="G255" s="9">
        <v>45296</v>
      </c>
      <c r="H255" s="9">
        <v>46022</v>
      </c>
      <c r="I255" s="12">
        <v>200000</v>
      </c>
      <c r="J255" s="6" t="s">
        <v>346</v>
      </c>
      <c r="K255" s="6" t="s">
        <v>492</v>
      </c>
      <c r="L255" s="6">
        <v>1</v>
      </c>
      <c r="M255" s="6">
        <v>16</v>
      </c>
      <c r="N255" s="12">
        <v>1500000</v>
      </c>
      <c r="O255" s="24">
        <f t="shared" si="26"/>
        <v>5250000</v>
      </c>
      <c r="P255" s="21" t="s">
        <v>493</v>
      </c>
      <c r="Q255">
        <f t="shared" ca="1" si="27"/>
        <v>100000</v>
      </c>
      <c r="R255" s="6" t="s">
        <v>503</v>
      </c>
      <c r="S255" s="6">
        <v>1.85</v>
      </c>
      <c r="T255" s="9">
        <f t="shared" ca="1" si="28"/>
        <v>46296</v>
      </c>
      <c r="U255" s="6">
        <f t="shared" ca="1" si="33"/>
        <v>-274</v>
      </c>
      <c r="V255" s="6" t="str">
        <f t="shared" ca="1" si="29"/>
        <v>Pre contrato</v>
      </c>
      <c r="W255" s="34">
        <f t="shared" si="30"/>
        <v>1200000</v>
      </c>
      <c r="X255" s="34">
        <f t="shared" si="31"/>
        <v>2600000</v>
      </c>
    </row>
    <row r="256" spans="1:24">
      <c r="A256" s="6" t="s">
        <v>269</v>
      </c>
      <c r="B256" t="s">
        <v>337</v>
      </c>
      <c r="C256" s="10" t="s">
        <v>338</v>
      </c>
      <c r="D256" s="10" t="s">
        <v>305</v>
      </c>
      <c r="E256">
        <f t="shared" ca="1" si="25"/>
        <v>34</v>
      </c>
      <c r="F256" s="11">
        <v>33710</v>
      </c>
      <c r="G256" s="9">
        <v>45658</v>
      </c>
      <c r="H256" s="9">
        <v>46387</v>
      </c>
      <c r="I256" s="12">
        <v>170000</v>
      </c>
      <c r="J256" s="6" t="s">
        <v>376</v>
      </c>
      <c r="K256" s="6" t="s">
        <v>492</v>
      </c>
      <c r="L256" s="6">
        <v>0</v>
      </c>
      <c r="M256" s="6">
        <v>0</v>
      </c>
      <c r="N256" s="12">
        <v>2300000</v>
      </c>
      <c r="O256" s="24">
        <f t="shared" si="26"/>
        <v>8050000</v>
      </c>
      <c r="P256" s="6" t="s">
        <v>493</v>
      </c>
      <c r="Q256">
        <f t="shared" ca="1" si="27"/>
        <v>100000</v>
      </c>
      <c r="R256" s="6" t="s">
        <v>503</v>
      </c>
      <c r="S256" s="6">
        <v>1.86</v>
      </c>
      <c r="T256" s="9">
        <f t="shared" ca="1" si="28"/>
        <v>46296</v>
      </c>
      <c r="U256" s="6">
        <f t="shared" ca="1" si="33"/>
        <v>91</v>
      </c>
      <c r="V256" s="6" t="str">
        <f t="shared" ca="1" si="29"/>
        <v>Pre contrato</v>
      </c>
      <c r="W256" s="34">
        <f t="shared" si="30"/>
        <v>1020000</v>
      </c>
      <c r="X256" s="34">
        <f t="shared" si="31"/>
        <v>2210000</v>
      </c>
    </row>
    <row r="257" spans="1:24">
      <c r="A257" s="6" t="s">
        <v>270</v>
      </c>
      <c r="B257" t="s">
        <v>337</v>
      </c>
      <c r="C257" s="10" t="s">
        <v>339</v>
      </c>
      <c r="D257" s="10" t="s">
        <v>305</v>
      </c>
      <c r="E257">
        <f t="shared" ca="1" si="25"/>
        <v>35</v>
      </c>
      <c r="F257" s="11">
        <v>33169</v>
      </c>
      <c r="G257" s="9">
        <v>45658</v>
      </c>
      <c r="H257" s="9">
        <v>46022</v>
      </c>
      <c r="I257" s="12">
        <v>130000</v>
      </c>
      <c r="J257" s="6" t="s">
        <v>478</v>
      </c>
      <c r="K257" s="6" t="s">
        <v>492</v>
      </c>
      <c r="L257" s="6">
        <v>0</v>
      </c>
      <c r="M257" s="6">
        <v>0</v>
      </c>
      <c r="N257" s="12">
        <v>300000</v>
      </c>
      <c r="O257" s="24">
        <f t="shared" si="26"/>
        <v>1050000</v>
      </c>
      <c r="P257" s="6" t="s">
        <v>493</v>
      </c>
      <c r="Q257">
        <f t="shared" ca="1" si="27"/>
        <v>100000</v>
      </c>
      <c r="R257" s="6" t="s">
        <v>503</v>
      </c>
      <c r="S257" s="6">
        <v>1.84</v>
      </c>
      <c r="T257" s="9">
        <f t="shared" ca="1" si="28"/>
        <v>46296</v>
      </c>
      <c r="U257" s="6">
        <f t="shared" ca="1" si="33"/>
        <v>-274</v>
      </c>
      <c r="V257" s="6" t="str">
        <f t="shared" ca="1" si="29"/>
        <v>Pre contrato</v>
      </c>
      <c r="W257" s="34">
        <f t="shared" si="30"/>
        <v>780000</v>
      </c>
      <c r="X257" s="34">
        <f t="shared" si="31"/>
        <v>1690000</v>
      </c>
    </row>
    <row r="258" spans="1:24">
      <c r="A258" s="6" t="s">
        <v>271</v>
      </c>
      <c r="B258" t="s">
        <v>337</v>
      </c>
      <c r="C258" s="10" t="s">
        <v>337</v>
      </c>
      <c r="D258" s="10" t="s">
        <v>305</v>
      </c>
      <c r="E258">
        <f t="shared" ref="E258:E321" ca="1" si="34">DATEDIF(F258,TODAY(),"Y")</f>
        <v>22</v>
      </c>
      <c r="F258" s="11">
        <v>37912</v>
      </c>
      <c r="G258" s="9">
        <v>45292</v>
      </c>
      <c r="H258" s="9">
        <v>46752</v>
      </c>
      <c r="I258" s="12">
        <v>150000</v>
      </c>
      <c r="J258" s="12" t="s">
        <v>479</v>
      </c>
      <c r="K258" s="21" t="s">
        <v>492</v>
      </c>
      <c r="L258" s="6">
        <v>1</v>
      </c>
      <c r="M258" s="6">
        <v>13</v>
      </c>
      <c r="N258" s="12">
        <v>2600000</v>
      </c>
      <c r="O258" s="24">
        <f t="shared" ref="O258:O321" si="35">N258*3.5</f>
        <v>9100000</v>
      </c>
      <c r="P258" s="6" t="s">
        <v>493</v>
      </c>
      <c r="Q258">
        <f t="shared" ref="Q258:Q321" ca="1" si="36">IF(E258&gt;30,100000,IF(E258&gt;24,120000,IF(E258&gt;16,160000)))</f>
        <v>160000</v>
      </c>
      <c r="R258" s="6" t="s">
        <v>503</v>
      </c>
      <c r="S258" s="6">
        <v>1.85</v>
      </c>
      <c r="T258" s="9">
        <f t="shared" ref="T258:T321" ca="1" si="37">TODAY()</f>
        <v>46296</v>
      </c>
      <c r="U258" s="6">
        <f t="shared" ca="1" si="33"/>
        <v>456</v>
      </c>
      <c r="V258" s="6" t="str">
        <f t="shared" ref="V258:V321" ca="1" si="38">IF(U258&lt;180, "Pre contrato","Com Contrato em vigor")</f>
        <v>Com Contrato em vigor</v>
      </c>
      <c r="W258" s="34">
        <f t="shared" si="30"/>
        <v>900000</v>
      </c>
      <c r="X258" s="34">
        <f t="shared" si="31"/>
        <v>1950000</v>
      </c>
    </row>
    <row r="259" spans="1:24">
      <c r="A259" s="6" t="s">
        <v>272</v>
      </c>
      <c r="B259" t="s">
        <v>337</v>
      </c>
      <c r="C259" s="10" t="s">
        <v>340</v>
      </c>
      <c r="D259" s="10" t="s">
        <v>305</v>
      </c>
      <c r="E259">
        <f t="shared" ca="1" si="34"/>
        <v>25</v>
      </c>
      <c r="F259" s="11">
        <v>36963</v>
      </c>
      <c r="G259" s="9">
        <v>44947</v>
      </c>
      <c r="H259" s="9">
        <v>46568</v>
      </c>
      <c r="I259" s="12">
        <v>250000</v>
      </c>
      <c r="J259" s="6" t="s">
        <v>480</v>
      </c>
      <c r="K259" s="6" t="s">
        <v>496</v>
      </c>
      <c r="L259" s="6">
        <v>3</v>
      </c>
      <c r="M259" s="6">
        <v>21</v>
      </c>
      <c r="N259" s="12">
        <v>3000000</v>
      </c>
      <c r="O259" s="24">
        <f t="shared" si="35"/>
        <v>10500000</v>
      </c>
      <c r="P259" s="6" t="s">
        <v>497</v>
      </c>
      <c r="Q259">
        <f t="shared" ca="1" si="36"/>
        <v>120000</v>
      </c>
      <c r="R259" s="6" t="s">
        <v>506</v>
      </c>
      <c r="S259" s="6">
        <v>1.79</v>
      </c>
      <c r="T259" s="9">
        <f t="shared" ca="1" si="37"/>
        <v>46296</v>
      </c>
      <c r="U259" s="6">
        <f t="shared" ca="1" si="33"/>
        <v>272</v>
      </c>
      <c r="V259" s="6" t="str">
        <f t="shared" ca="1" si="38"/>
        <v>Com Contrato em vigor</v>
      </c>
      <c r="W259" s="34">
        <f t="shared" ref="W259:W322" si="39">I259*6</f>
        <v>1500000</v>
      </c>
      <c r="X259" s="34">
        <f t="shared" ref="X259:X322" si="40">I259*13</f>
        <v>3250000</v>
      </c>
    </row>
    <row r="260" spans="1:24">
      <c r="A260" s="6" t="s">
        <v>273</v>
      </c>
      <c r="B260" t="s">
        <v>337</v>
      </c>
      <c r="C260" s="10" t="s">
        <v>337</v>
      </c>
      <c r="D260" s="10" t="s">
        <v>305</v>
      </c>
      <c r="E260">
        <f t="shared" ca="1" si="34"/>
        <v>24</v>
      </c>
      <c r="F260" s="11">
        <v>37371</v>
      </c>
      <c r="G260" s="9">
        <v>45030</v>
      </c>
      <c r="H260" s="9">
        <v>46022</v>
      </c>
      <c r="I260" s="12">
        <v>110000</v>
      </c>
      <c r="J260" s="21" t="s">
        <v>376</v>
      </c>
      <c r="K260" s="6" t="s">
        <v>496</v>
      </c>
      <c r="L260" s="6">
        <v>0</v>
      </c>
      <c r="M260" s="6">
        <v>0</v>
      </c>
      <c r="N260" s="12">
        <v>2200000</v>
      </c>
      <c r="O260" s="24">
        <f t="shared" si="35"/>
        <v>7700000</v>
      </c>
      <c r="P260" s="6" t="s">
        <v>497</v>
      </c>
      <c r="Q260">
        <f t="shared" ca="1" si="36"/>
        <v>160000</v>
      </c>
      <c r="R260" s="6" t="s">
        <v>503</v>
      </c>
      <c r="S260" s="6">
        <v>1.79</v>
      </c>
      <c r="T260" s="9">
        <f t="shared" ca="1" si="37"/>
        <v>46296</v>
      </c>
      <c r="U260" s="6">
        <f t="shared" ca="1" si="33"/>
        <v>-274</v>
      </c>
      <c r="V260" s="6" t="str">
        <f t="shared" ca="1" si="38"/>
        <v>Pre contrato</v>
      </c>
      <c r="W260" s="34">
        <f t="shared" si="39"/>
        <v>660000</v>
      </c>
      <c r="X260" s="34">
        <f t="shared" si="40"/>
        <v>1430000</v>
      </c>
    </row>
    <row r="261" spans="1:24">
      <c r="A261" t="s">
        <v>274</v>
      </c>
      <c r="B261" t="s">
        <v>337</v>
      </c>
      <c r="C261" s="10" t="s">
        <v>341</v>
      </c>
      <c r="D261" s="10" t="s">
        <v>305</v>
      </c>
      <c r="E261">
        <f t="shared" ca="1" si="34"/>
        <v>23</v>
      </c>
      <c r="F261" s="20">
        <v>37818</v>
      </c>
      <c r="G261" s="20">
        <v>45511</v>
      </c>
      <c r="H261" s="20">
        <v>46934</v>
      </c>
      <c r="I261" s="17">
        <v>70000</v>
      </c>
      <c r="J261" t="s">
        <v>392</v>
      </c>
      <c r="K261" s="6" t="s">
        <v>496</v>
      </c>
      <c r="L261">
        <v>0</v>
      </c>
      <c r="M261">
        <v>0</v>
      </c>
      <c r="N261" s="17">
        <v>350000</v>
      </c>
      <c r="O261" s="24">
        <f t="shared" si="35"/>
        <v>1225000</v>
      </c>
      <c r="P261" t="s">
        <v>497</v>
      </c>
      <c r="Q261">
        <f t="shared" ca="1" si="36"/>
        <v>160000</v>
      </c>
      <c r="R261" t="s">
        <v>503</v>
      </c>
      <c r="S261">
        <v>1.84</v>
      </c>
      <c r="T261" s="20">
        <f t="shared" ca="1" si="37"/>
        <v>46296</v>
      </c>
      <c r="U261">
        <f t="shared" ca="1" si="33"/>
        <v>638</v>
      </c>
      <c r="V261" t="str">
        <f t="shared" ca="1" si="38"/>
        <v>Com Contrato em vigor</v>
      </c>
      <c r="W261" s="34">
        <f t="shared" si="39"/>
        <v>420000</v>
      </c>
      <c r="X261" s="34">
        <f t="shared" si="40"/>
        <v>910000</v>
      </c>
    </row>
    <row r="262" spans="1:24">
      <c r="A262" t="s">
        <v>275</v>
      </c>
      <c r="B262" t="s">
        <v>337</v>
      </c>
      <c r="C262" s="6" t="s">
        <v>337</v>
      </c>
      <c r="D262" s="6" t="s">
        <v>305</v>
      </c>
      <c r="E262">
        <f t="shared" ca="1" si="34"/>
        <v>27</v>
      </c>
      <c r="F262" s="20">
        <v>36257</v>
      </c>
      <c r="G262" s="20">
        <v>44927</v>
      </c>
      <c r="H262" s="20">
        <v>46022</v>
      </c>
      <c r="I262" s="17">
        <v>240000</v>
      </c>
      <c r="J262" t="s">
        <v>376</v>
      </c>
      <c r="K262" s="31" t="s">
        <v>498</v>
      </c>
      <c r="L262">
        <v>0</v>
      </c>
      <c r="M262">
        <v>0</v>
      </c>
      <c r="N262" s="17">
        <v>3000000</v>
      </c>
      <c r="O262" s="24">
        <f t="shared" si="35"/>
        <v>10500000</v>
      </c>
      <c r="P262" s="6" t="s">
        <v>493</v>
      </c>
      <c r="Q262">
        <f t="shared" ca="1" si="36"/>
        <v>120000</v>
      </c>
      <c r="R262" t="s">
        <v>503</v>
      </c>
      <c r="S262">
        <v>1.88</v>
      </c>
      <c r="T262" s="20">
        <f t="shared" ca="1" si="37"/>
        <v>46296</v>
      </c>
      <c r="U262">
        <f t="shared" ca="1" si="33"/>
        <v>-274</v>
      </c>
      <c r="V262" t="str">
        <f t="shared" ca="1" si="38"/>
        <v>Pre contrato</v>
      </c>
      <c r="W262" s="34">
        <f t="shared" si="39"/>
        <v>1440000</v>
      </c>
      <c r="X262" s="34">
        <f t="shared" si="40"/>
        <v>3120000</v>
      </c>
    </row>
    <row r="263" spans="1:24">
      <c r="A263" t="s">
        <v>276</v>
      </c>
      <c r="B263" t="s">
        <v>337</v>
      </c>
      <c r="C263" s="6" t="s">
        <v>337</v>
      </c>
      <c r="D263" s="6" t="s">
        <v>305</v>
      </c>
      <c r="E263">
        <f t="shared" ca="1" si="34"/>
        <v>26</v>
      </c>
      <c r="F263" s="20">
        <v>36595</v>
      </c>
      <c r="G263" s="20">
        <v>45296</v>
      </c>
      <c r="H263" s="20">
        <v>46752</v>
      </c>
      <c r="I263" s="17">
        <v>130000</v>
      </c>
      <c r="J263" t="s">
        <v>379</v>
      </c>
      <c r="K263" s="31" t="s">
        <v>498</v>
      </c>
      <c r="L263">
        <v>0</v>
      </c>
      <c r="M263">
        <v>0</v>
      </c>
      <c r="N263" s="17">
        <v>300000</v>
      </c>
      <c r="O263" s="24">
        <f t="shared" si="35"/>
        <v>1050000</v>
      </c>
      <c r="P263" t="s">
        <v>493</v>
      </c>
      <c r="Q263">
        <f t="shared" ca="1" si="36"/>
        <v>120000</v>
      </c>
      <c r="R263" t="s">
        <v>503</v>
      </c>
      <c r="S263">
        <v>1.85</v>
      </c>
      <c r="T263" s="20">
        <f t="shared" ca="1" si="37"/>
        <v>46296</v>
      </c>
      <c r="U263">
        <f t="shared" ca="1" si="33"/>
        <v>456</v>
      </c>
      <c r="V263" t="str">
        <f t="shared" ca="1" si="38"/>
        <v>Com Contrato em vigor</v>
      </c>
      <c r="W263" s="34">
        <f t="shared" si="39"/>
        <v>780000</v>
      </c>
      <c r="X263" s="34">
        <f t="shared" si="40"/>
        <v>1690000</v>
      </c>
    </row>
    <row r="264" spans="1:24">
      <c r="A264" t="s">
        <v>277</v>
      </c>
      <c r="B264" t="s">
        <v>337</v>
      </c>
      <c r="C264" s="6" t="s">
        <v>337</v>
      </c>
      <c r="D264" s="6" t="s">
        <v>305</v>
      </c>
      <c r="E264">
        <f t="shared" ca="1" si="34"/>
        <v>30</v>
      </c>
      <c r="F264" s="20">
        <v>35119</v>
      </c>
      <c r="G264" s="20">
        <v>45292</v>
      </c>
      <c r="H264" s="20">
        <v>46387</v>
      </c>
      <c r="I264" s="17">
        <v>200000</v>
      </c>
      <c r="J264" t="s">
        <v>481</v>
      </c>
      <c r="K264" s="31" t="s">
        <v>498</v>
      </c>
      <c r="L264">
        <v>0</v>
      </c>
      <c r="M264">
        <v>0</v>
      </c>
      <c r="N264" s="17">
        <v>200000</v>
      </c>
      <c r="O264" s="24">
        <f t="shared" si="35"/>
        <v>700000</v>
      </c>
      <c r="P264" t="s">
        <v>493</v>
      </c>
      <c r="Q264">
        <f t="shared" ca="1" si="36"/>
        <v>120000</v>
      </c>
      <c r="R264" t="s">
        <v>503</v>
      </c>
      <c r="S264">
        <v>1.84</v>
      </c>
      <c r="T264" s="20">
        <f t="shared" ca="1" si="37"/>
        <v>46296</v>
      </c>
      <c r="U264">
        <f t="shared" ca="1" si="33"/>
        <v>91</v>
      </c>
      <c r="V264" t="str">
        <f t="shared" ca="1" si="38"/>
        <v>Pre contrato</v>
      </c>
      <c r="W264" s="34">
        <f t="shared" si="39"/>
        <v>1200000</v>
      </c>
      <c r="X264" s="34">
        <f t="shared" si="40"/>
        <v>2600000</v>
      </c>
    </row>
    <row r="265" spans="1:24">
      <c r="A265" t="s">
        <v>278</v>
      </c>
      <c r="B265" t="s">
        <v>337</v>
      </c>
      <c r="C265" s="6" t="s">
        <v>337</v>
      </c>
      <c r="D265" s="6" t="s">
        <v>305</v>
      </c>
      <c r="E265">
        <f t="shared" ca="1" si="34"/>
        <v>33</v>
      </c>
      <c r="F265" s="20">
        <v>34193</v>
      </c>
      <c r="G265" s="20">
        <v>44981</v>
      </c>
      <c r="H265" s="20">
        <v>45657</v>
      </c>
      <c r="I265" s="17">
        <v>75000</v>
      </c>
      <c r="J265" t="s">
        <v>444</v>
      </c>
      <c r="K265" s="6" t="s">
        <v>494</v>
      </c>
      <c r="L265">
        <v>0</v>
      </c>
      <c r="M265">
        <v>0</v>
      </c>
      <c r="N265" s="17">
        <v>240000</v>
      </c>
      <c r="O265" s="24">
        <f t="shared" si="35"/>
        <v>840000</v>
      </c>
      <c r="P265" t="s">
        <v>493</v>
      </c>
      <c r="Q265">
        <f t="shared" ca="1" si="36"/>
        <v>100000</v>
      </c>
      <c r="R265" t="s">
        <v>503</v>
      </c>
      <c r="S265">
        <v>1.83</v>
      </c>
      <c r="T265" s="20">
        <f t="shared" ca="1" si="37"/>
        <v>46296</v>
      </c>
      <c r="U265">
        <f t="shared" ca="1" si="33"/>
        <v>-639</v>
      </c>
      <c r="V265" t="str">
        <f t="shared" ca="1" si="38"/>
        <v>Pre contrato</v>
      </c>
      <c r="W265" s="34">
        <f t="shared" si="39"/>
        <v>450000</v>
      </c>
      <c r="X265" s="34">
        <f t="shared" si="40"/>
        <v>975000</v>
      </c>
    </row>
    <row r="266" spans="1:24">
      <c r="A266" t="s">
        <v>279</v>
      </c>
      <c r="B266" t="s">
        <v>337</v>
      </c>
      <c r="C266" s="6" t="s">
        <v>337</v>
      </c>
      <c r="D266" s="6" t="s">
        <v>305</v>
      </c>
      <c r="E266">
        <f t="shared" ca="1" si="34"/>
        <v>25</v>
      </c>
      <c r="F266" s="20">
        <v>36841</v>
      </c>
      <c r="G266" s="20">
        <v>45302</v>
      </c>
      <c r="H266" s="20">
        <v>46752</v>
      </c>
      <c r="I266" s="17">
        <v>68000</v>
      </c>
      <c r="J266" t="s">
        <v>376</v>
      </c>
      <c r="K266" t="s">
        <v>494</v>
      </c>
      <c r="L266">
        <v>0</v>
      </c>
      <c r="M266">
        <v>0</v>
      </c>
      <c r="N266" s="17">
        <v>250000</v>
      </c>
      <c r="O266" s="24">
        <f t="shared" si="35"/>
        <v>875000</v>
      </c>
      <c r="P266" t="s">
        <v>493</v>
      </c>
      <c r="Q266">
        <f t="shared" ca="1" si="36"/>
        <v>120000</v>
      </c>
      <c r="R266" t="s">
        <v>503</v>
      </c>
      <c r="S266">
        <v>1.87</v>
      </c>
      <c r="T266" s="20">
        <f t="shared" ca="1" si="37"/>
        <v>46296</v>
      </c>
      <c r="U266">
        <f ca="1">_xlfn.DAYS(H265,T265)</f>
        <v>-639</v>
      </c>
      <c r="V266" t="str">
        <f t="shared" ca="1" si="38"/>
        <v>Pre contrato</v>
      </c>
      <c r="W266" s="34">
        <f t="shared" si="39"/>
        <v>408000</v>
      </c>
      <c r="X266" s="34">
        <f t="shared" si="40"/>
        <v>884000</v>
      </c>
    </row>
    <row r="267" spans="1:24">
      <c r="A267" t="s">
        <v>280</v>
      </c>
      <c r="B267" t="s">
        <v>337</v>
      </c>
      <c r="C267" s="6" t="s">
        <v>338</v>
      </c>
      <c r="D267" s="6" t="s">
        <v>305</v>
      </c>
      <c r="E267">
        <f t="shared" ca="1" si="34"/>
        <v>31</v>
      </c>
      <c r="F267" s="20">
        <v>34685</v>
      </c>
      <c r="G267" s="20">
        <v>44929</v>
      </c>
      <c r="H267" s="20">
        <v>46022</v>
      </c>
      <c r="I267" s="17">
        <v>75000</v>
      </c>
      <c r="J267" s="6" t="s">
        <v>348</v>
      </c>
      <c r="K267" t="s">
        <v>494</v>
      </c>
      <c r="L267">
        <v>0</v>
      </c>
      <c r="M267">
        <v>0</v>
      </c>
      <c r="N267" s="17">
        <v>200000</v>
      </c>
      <c r="O267" s="24">
        <f t="shared" si="35"/>
        <v>700000</v>
      </c>
      <c r="P267" t="s">
        <v>493</v>
      </c>
      <c r="Q267">
        <f t="shared" ca="1" si="36"/>
        <v>100000</v>
      </c>
      <c r="R267" t="s">
        <v>503</v>
      </c>
      <c r="S267">
        <v>1.78</v>
      </c>
      <c r="T267" s="20">
        <f t="shared" ca="1" si="37"/>
        <v>46296</v>
      </c>
      <c r="U267">
        <f ca="1">_xlfn.DAYS(H267,T267)</f>
        <v>-274</v>
      </c>
      <c r="V267" t="str">
        <f t="shared" ca="1" si="38"/>
        <v>Pre contrato</v>
      </c>
      <c r="W267" s="34">
        <f t="shared" si="39"/>
        <v>450000</v>
      </c>
      <c r="X267" s="34">
        <f t="shared" si="40"/>
        <v>975000</v>
      </c>
    </row>
    <row r="268" spans="1:24">
      <c r="A268" t="s">
        <v>281</v>
      </c>
      <c r="B268" t="s">
        <v>337</v>
      </c>
      <c r="C268" s="6" t="s">
        <v>337</v>
      </c>
      <c r="D268" s="6" t="s">
        <v>305</v>
      </c>
      <c r="E268">
        <f t="shared" ca="1" si="34"/>
        <v>25</v>
      </c>
      <c r="F268" s="20">
        <v>36973</v>
      </c>
      <c r="G268" s="20">
        <v>44939</v>
      </c>
      <c r="H268" s="20">
        <v>46752</v>
      </c>
      <c r="I268" s="17">
        <v>130000</v>
      </c>
      <c r="J268" t="s">
        <v>482</v>
      </c>
      <c r="K268" t="s">
        <v>494</v>
      </c>
      <c r="L268">
        <v>0</v>
      </c>
      <c r="M268">
        <v>0</v>
      </c>
      <c r="N268" s="17">
        <v>250000</v>
      </c>
      <c r="O268" s="24">
        <f t="shared" si="35"/>
        <v>875000</v>
      </c>
      <c r="P268" t="s">
        <v>493</v>
      </c>
      <c r="Q268">
        <f t="shared" ca="1" si="36"/>
        <v>120000</v>
      </c>
      <c r="R268" t="s">
        <v>503</v>
      </c>
      <c r="S268">
        <v>1.8</v>
      </c>
      <c r="T268" s="20">
        <f t="shared" ca="1" si="37"/>
        <v>46296</v>
      </c>
      <c r="U268">
        <f ca="1">_xlfn.DAYS(H268,T268)</f>
        <v>456</v>
      </c>
      <c r="V268" t="str">
        <f t="shared" ca="1" si="38"/>
        <v>Com Contrato em vigor</v>
      </c>
      <c r="W268" s="34">
        <f t="shared" si="39"/>
        <v>780000</v>
      </c>
      <c r="X268" s="34">
        <f t="shared" si="40"/>
        <v>1690000</v>
      </c>
    </row>
    <row r="269" spans="1:24">
      <c r="A269" t="s">
        <v>282</v>
      </c>
      <c r="B269" t="s">
        <v>337</v>
      </c>
      <c r="C269" s="6" t="s">
        <v>337</v>
      </c>
      <c r="D269" s="6" t="s">
        <v>305</v>
      </c>
      <c r="E269">
        <f t="shared" ca="1" si="34"/>
        <v>29</v>
      </c>
      <c r="F269" s="20">
        <v>35693</v>
      </c>
      <c r="G269" s="20">
        <v>43693</v>
      </c>
      <c r="H269" s="20">
        <v>45838</v>
      </c>
      <c r="I269" s="17">
        <v>220000</v>
      </c>
      <c r="J269" t="s">
        <v>352</v>
      </c>
      <c r="K269" s="6" t="s">
        <v>499</v>
      </c>
      <c r="L269">
        <v>1</v>
      </c>
      <c r="M269">
        <v>12</v>
      </c>
      <c r="N269" s="17">
        <v>3000000</v>
      </c>
      <c r="O269" s="24">
        <f t="shared" si="35"/>
        <v>10500000</v>
      </c>
      <c r="P269" t="s">
        <v>493</v>
      </c>
      <c r="Q269">
        <f t="shared" ca="1" si="36"/>
        <v>120000</v>
      </c>
      <c r="R269" t="s">
        <v>503</v>
      </c>
      <c r="S269">
        <v>1.75</v>
      </c>
      <c r="T269" s="20">
        <f t="shared" ca="1" si="37"/>
        <v>46296</v>
      </c>
      <c r="U269">
        <f ca="1">_xlfn.DAYS(H269,T269)</f>
        <v>-458</v>
      </c>
      <c r="V269" t="str">
        <f t="shared" ca="1" si="38"/>
        <v>Pre contrato</v>
      </c>
      <c r="W269" s="34">
        <f t="shared" si="39"/>
        <v>1320000</v>
      </c>
      <c r="X269" s="34">
        <f t="shared" si="40"/>
        <v>2860000</v>
      </c>
    </row>
    <row r="270" spans="1:24">
      <c r="A270" t="s">
        <v>283</v>
      </c>
      <c r="B270" t="s">
        <v>337</v>
      </c>
      <c r="C270" s="6" t="s">
        <v>337</v>
      </c>
      <c r="D270" s="6" t="s">
        <v>305</v>
      </c>
      <c r="E270">
        <f t="shared" ca="1" si="34"/>
        <v>25</v>
      </c>
      <c r="F270" s="20">
        <v>37023</v>
      </c>
      <c r="G270" s="20">
        <v>45302</v>
      </c>
      <c r="H270" s="20">
        <v>47118</v>
      </c>
      <c r="I270" s="17">
        <v>80000</v>
      </c>
      <c r="J270" t="s">
        <v>483</v>
      </c>
      <c r="K270" s="6" t="s">
        <v>499</v>
      </c>
      <c r="L270">
        <v>0</v>
      </c>
      <c r="M270">
        <v>0</v>
      </c>
      <c r="N270" s="17">
        <v>250000</v>
      </c>
      <c r="O270" s="24">
        <f t="shared" si="35"/>
        <v>875000</v>
      </c>
      <c r="P270" t="s">
        <v>493</v>
      </c>
      <c r="Q270">
        <f t="shared" ca="1" si="36"/>
        <v>120000</v>
      </c>
      <c r="R270" t="s">
        <v>503</v>
      </c>
      <c r="S270">
        <v>1.87</v>
      </c>
      <c r="T270" s="20">
        <f t="shared" ca="1" si="37"/>
        <v>46296</v>
      </c>
      <c r="U270">
        <f ca="1">_xlfn.DAYS(H269,T269)</f>
        <v>-458</v>
      </c>
      <c r="V270" t="str">
        <f t="shared" ca="1" si="38"/>
        <v>Pre contrato</v>
      </c>
      <c r="W270" s="34">
        <f t="shared" si="39"/>
        <v>480000</v>
      </c>
      <c r="X270" s="34">
        <f t="shared" si="40"/>
        <v>1040000</v>
      </c>
    </row>
    <row r="271" spans="1:24">
      <c r="A271" t="s">
        <v>284</v>
      </c>
      <c r="B271" t="s">
        <v>337</v>
      </c>
      <c r="C271" s="6" t="s">
        <v>337</v>
      </c>
      <c r="D271" s="6" t="s">
        <v>305</v>
      </c>
      <c r="E271">
        <f t="shared" ca="1" si="34"/>
        <v>31</v>
      </c>
      <c r="F271" s="20">
        <v>34777</v>
      </c>
      <c r="G271" s="20">
        <v>45110</v>
      </c>
      <c r="H271" s="20">
        <v>46022</v>
      </c>
      <c r="I271" s="17">
        <v>300000</v>
      </c>
      <c r="J271" t="s">
        <v>455</v>
      </c>
      <c r="K271" s="6" t="s">
        <v>499</v>
      </c>
      <c r="L271">
        <v>0</v>
      </c>
      <c r="M271">
        <v>0</v>
      </c>
      <c r="N271" s="17">
        <v>3500000</v>
      </c>
      <c r="O271" s="24">
        <f t="shared" si="35"/>
        <v>12250000</v>
      </c>
      <c r="P271" t="s">
        <v>493</v>
      </c>
      <c r="Q271">
        <f t="shared" ca="1" si="36"/>
        <v>100000</v>
      </c>
      <c r="R271" t="s">
        <v>503</v>
      </c>
      <c r="S271">
        <v>1.66</v>
      </c>
      <c r="T271" s="20">
        <f t="shared" ca="1" si="37"/>
        <v>46296</v>
      </c>
      <c r="U271">
        <f ca="1">_xlfn.DAYS(H271,T271)</f>
        <v>-274</v>
      </c>
      <c r="V271" t="str">
        <f t="shared" ca="1" si="38"/>
        <v>Pre contrato</v>
      </c>
      <c r="W271" s="34">
        <f t="shared" si="39"/>
        <v>1800000</v>
      </c>
      <c r="X271" s="34">
        <f t="shared" si="40"/>
        <v>3900000</v>
      </c>
    </row>
    <row r="272" spans="1:24">
      <c r="A272" t="s">
        <v>285</v>
      </c>
      <c r="B272" t="s">
        <v>337</v>
      </c>
      <c r="C272" s="6" t="s">
        <v>337</v>
      </c>
      <c r="D272" s="6" t="s">
        <v>305</v>
      </c>
      <c r="E272">
        <f t="shared" ca="1" si="34"/>
        <v>23</v>
      </c>
      <c r="F272" s="20">
        <v>37647</v>
      </c>
      <c r="G272" s="20">
        <v>45302</v>
      </c>
      <c r="H272" s="20">
        <v>46752</v>
      </c>
      <c r="I272" s="17">
        <v>115000</v>
      </c>
      <c r="J272" t="s">
        <v>378</v>
      </c>
      <c r="K272" s="6" t="s">
        <v>500</v>
      </c>
      <c r="L272">
        <v>0</v>
      </c>
      <c r="M272">
        <v>0</v>
      </c>
      <c r="N272" s="17">
        <v>150000</v>
      </c>
      <c r="O272" s="24">
        <f t="shared" si="35"/>
        <v>525000</v>
      </c>
      <c r="P272" t="s">
        <v>493</v>
      </c>
      <c r="Q272">
        <f t="shared" ca="1" si="36"/>
        <v>160000</v>
      </c>
      <c r="R272" t="s">
        <v>503</v>
      </c>
      <c r="S272">
        <v>1.75</v>
      </c>
      <c r="T272" s="20">
        <f t="shared" ca="1" si="37"/>
        <v>46296</v>
      </c>
      <c r="U272">
        <f ca="1">_xlfn.DAYS(H272,T272)</f>
        <v>456</v>
      </c>
      <c r="V272" t="str">
        <f t="shared" ca="1" si="38"/>
        <v>Com Contrato em vigor</v>
      </c>
      <c r="W272" s="34">
        <f t="shared" si="39"/>
        <v>690000</v>
      </c>
      <c r="X272" s="34">
        <f t="shared" si="40"/>
        <v>1495000</v>
      </c>
    </row>
    <row r="273" spans="1:24">
      <c r="A273" t="s">
        <v>286</v>
      </c>
      <c r="B273" t="s">
        <v>337</v>
      </c>
      <c r="C273" s="6" t="s">
        <v>337</v>
      </c>
      <c r="D273" s="6" t="s">
        <v>305</v>
      </c>
      <c r="E273">
        <f t="shared" ca="1" si="34"/>
        <v>23</v>
      </c>
      <c r="F273" s="20">
        <v>37557</v>
      </c>
      <c r="G273" s="20">
        <v>44792</v>
      </c>
      <c r="H273" s="20">
        <v>46387</v>
      </c>
      <c r="I273" s="17">
        <v>89000</v>
      </c>
      <c r="J273" t="s">
        <v>376</v>
      </c>
      <c r="K273" s="6" t="s">
        <v>500</v>
      </c>
      <c r="L273">
        <v>0</v>
      </c>
      <c r="M273">
        <v>0</v>
      </c>
      <c r="N273" s="17">
        <v>200000</v>
      </c>
      <c r="O273" s="24">
        <f t="shared" si="35"/>
        <v>700000</v>
      </c>
      <c r="P273" t="s">
        <v>493</v>
      </c>
      <c r="Q273">
        <f t="shared" ca="1" si="36"/>
        <v>160000</v>
      </c>
      <c r="R273" t="s">
        <v>503</v>
      </c>
      <c r="S273">
        <v>1.68</v>
      </c>
      <c r="T273" s="20">
        <f t="shared" ca="1" si="37"/>
        <v>46296</v>
      </c>
      <c r="U273">
        <f ca="1">_xlfn.DAYS(H273,T273)</f>
        <v>91</v>
      </c>
      <c r="V273" t="str">
        <f t="shared" ca="1" si="38"/>
        <v>Pre contrato</v>
      </c>
      <c r="W273" s="34">
        <f t="shared" si="39"/>
        <v>534000</v>
      </c>
      <c r="X273" s="34">
        <f t="shared" si="40"/>
        <v>1157000</v>
      </c>
    </row>
    <row r="274" spans="1:24">
      <c r="A274" t="s">
        <v>287</v>
      </c>
      <c r="B274" t="s">
        <v>337</v>
      </c>
      <c r="C274" s="6" t="s">
        <v>337</v>
      </c>
      <c r="D274" s="6" t="s">
        <v>305</v>
      </c>
      <c r="E274">
        <f t="shared" ca="1" si="34"/>
        <v>33</v>
      </c>
      <c r="F274" s="20">
        <v>34089</v>
      </c>
      <c r="G274" s="20">
        <v>44662</v>
      </c>
      <c r="H274" s="20">
        <v>45838</v>
      </c>
      <c r="I274" s="17">
        <v>67000</v>
      </c>
      <c r="J274" t="s">
        <v>366</v>
      </c>
      <c r="K274" s="6" t="s">
        <v>500</v>
      </c>
      <c r="L274">
        <v>0</v>
      </c>
      <c r="M274">
        <v>0</v>
      </c>
      <c r="N274" s="17">
        <v>200000</v>
      </c>
      <c r="O274" s="24">
        <f t="shared" si="35"/>
        <v>700000</v>
      </c>
      <c r="P274" t="s">
        <v>493</v>
      </c>
      <c r="Q274">
        <f t="shared" ca="1" si="36"/>
        <v>100000</v>
      </c>
      <c r="R274" t="s">
        <v>506</v>
      </c>
      <c r="S274">
        <v>1.81</v>
      </c>
      <c r="T274" s="20">
        <f t="shared" ca="1" si="37"/>
        <v>46296</v>
      </c>
      <c r="U274">
        <f ca="1">_xlfn.DAYS(H273,T273)</f>
        <v>91</v>
      </c>
      <c r="V274" t="str">
        <f t="shared" ca="1" si="38"/>
        <v>Pre contrato</v>
      </c>
      <c r="W274" s="34">
        <f t="shared" si="39"/>
        <v>402000</v>
      </c>
      <c r="X274" s="34">
        <f t="shared" si="40"/>
        <v>871000</v>
      </c>
    </row>
    <row r="275" spans="1:24">
      <c r="A275" t="s">
        <v>288</v>
      </c>
      <c r="B275" t="s">
        <v>337</v>
      </c>
      <c r="C275" s="6" t="s">
        <v>337</v>
      </c>
      <c r="D275" s="6" t="s">
        <v>305</v>
      </c>
      <c r="E275">
        <f t="shared" ca="1" si="34"/>
        <v>29</v>
      </c>
      <c r="F275" s="20">
        <v>35541</v>
      </c>
      <c r="G275" s="20">
        <v>45300</v>
      </c>
      <c r="H275" s="20">
        <v>46387</v>
      </c>
      <c r="I275" s="17">
        <v>130000</v>
      </c>
      <c r="J275" t="s">
        <v>484</v>
      </c>
      <c r="K275" s="6" t="s">
        <v>500</v>
      </c>
      <c r="L275">
        <v>1</v>
      </c>
      <c r="M275">
        <v>60</v>
      </c>
      <c r="N275" s="17">
        <v>1000000</v>
      </c>
      <c r="O275" s="24">
        <f t="shared" si="35"/>
        <v>3500000</v>
      </c>
      <c r="P275" t="s">
        <v>493</v>
      </c>
      <c r="Q275">
        <f t="shared" ca="1" si="36"/>
        <v>120000</v>
      </c>
      <c r="R275" t="s">
        <v>503</v>
      </c>
      <c r="S275">
        <v>1.79</v>
      </c>
      <c r="T275" s="20">
        <f t="shared" ca="1" si="37"/>
        <v>46296</v>
      </c>
      <c r="U275">
        <f ca="1">_xlfn.DAYS(H275,T275)</f>
        <v>91</v>
      </c>
      <c r="V275" t="str">
        <f t="shared" ca="1" si="38"/>
        <v>Pre contrato</v>
      </c>
      <c r="W275" s="34">
        <f t="shared" si="39"/>
        <v>780000</v>
      </c>
      <c r="X275" s="34">
        <f t="shared" si="40"/>
        <v>1690000</v>
      </c>
    </row>
    <row r="276" spans="1:24">
      <c r="A276" t="s">
        <v>289</v>
      </c>
      <c r="B276" t="s">
        <v>337</v>
      </c>
      <c r="C276" s="6" t="s">
        <v>337</v>
      </c>
      <c r="D276" s="6" t="s">
        <v>305</v>
      </c>
      <c r="E276">
        <f t="shared" ca="1" si="34"/>
        <v>35</v>
      </c>
      <c r="F276" s="20">
        <v>33429</v>
      </c>
      <c r="G276" s="20">
        <v>45291</v>
      </c>
      <c r="H276" s="20">
        <v>45657</v>
      </c>
      <c r="I276" s="17">
        <v>240000</v>
      </c>
      <c r="J276" t="s">
        <v>376</v>
      </c>
      <c r="K276" s="6" t="s">
        <v>500</v>
      </c>
      <c r="L276">
        <v>0</v>
      </c>
      <c r="M276">
        <v>0</v>
      </c>
      <c r="N276" s="17">
        <v>300000</v>
      </c>
      <c r="O276" s="24">
        <f t="shared" si="35"/>
        <v>1050000</v>
      </c>
      <c r="P276" t="s">
        <v>493</v>
      </c>
      <c r="Q276">
        <f t="shared" ca="1" si="36"/>
        <v>100000</v>
      </c>
      <c r="R276" t="s">
        <v>503</v>
      </c>
      <c r="S276">
        <v>1.75</v>
      </c>
      <c r="T276" s="20">
        <f t="shared" ca="1" si="37"/>
        <v>46296</v>
      </c>
      <c r="U276">
        <f ca="1">_xlfn.DAYS(H276,T276)</f>
        <v>-639</v>
      </c>
      <c r="V276" t="str">
        <f t="shared" ca="1" si="38"/>
        <v>Pre contrato</v>
      </c>
      <c r="W276" s="34">
        <f t="shared" si="39"/>
        <v>1440000</v>
      </c>
      <c r="X276" s="34">
        <f t="shared" si="40"/>
        <v>3120000</v>
      </c>
    </row>
    <row r="277" spans="1:24">
      <c r="A277" t="s">
        <v>290</v>
      </c>
      <c r="B277" t="s">
        <v>337</v>
      </c>
      <c r="C277" s="6" t="s">
        <v>337</v>
      </c>
      <c r="D277" s="6" t="s">
        <v>312</v>
      </c>
      <c r="E277">
        <f t="shared" ca="1" si="34"/>
        <v>27</v>
      </c>
      <c r="F277" s="20">
        <v>36386</v>
      </c>
      <c r="G277" s="20">
        <v>44929</v>
      </c>
      <c r="H277" s="20">
        <v>46022</v>
      </c>
      <c r="I277" s="17">
        <v>250000</v>
      </c>
      <c r="J277" t="s">
        <v>348</v>
      </c>
      <c r="K277" s="6" t="s">
        <v>500</v>
      </c>
      <c r="L277">
        <v>0</v>
      </c>
      <c r="M277">
        <v>0</v>
      </c>
      <c r="N277" s="17">
        <v>4000000</v>
      </c>
      <c r="O277" s="24">
        <f t="shared" si="35"/>
        <v>14000000</v>
      </c>
      <c r="P277" t="s">
        <v>493</v>
      </c>
      <c r="Q277">
        <f t="shared" ca="1" si="36"/>
        <v>120000</v>
      </c>
      <c r="R277" t="s">
        <v>503</v>
      </c>
      <c r="S277">
        <v>1.83</v>
      </c>
      <c r="T277" s="20">
        <f t="shared" ca="1" si="37"/>
        <v>46296</v>
      </c>
      <c r="U277">
        <f ca="1">_xlfn.DAYS(H277,T277)</f>
        <v>-274</v>
      </c>
      <c r="V277" t="str">
        <f t="shared" ca="1" si="38"/>
        <v>Pre contrato</v>
      </c>
      <c r="W277" s="34">
        <f t="shared" si="39"/>
        <v>1500000</v>
      </c>
      <c r="X277" s="34">
        <f t="shared" si="40"/>
        <v>3250000</v>
      </c>
    </row>
    <row r="278" spans="1:24">
      <c r="A278" t="s">
        <v>111</v>
      </c>
      <c r="B278" t="s">
        <v>337</v>
      </c>
      <c r="C278" s="6" t="s">
        <v>337</v>
      </c>
      <c r="D278" s="6" t="s">
        <v>305</v>
      </c>
      <c r="E278">
        <f t="shared" ca="1" si="34"/>
        <v>35</v>
      </c>
      <c r="F278" s="20">
        <v>33366</v>
      </c>
      <c r="G278" s="20">
        <v>45511</v>
      </c>
      <c r="H278" s="20">
        <v>46022</v>
      </c>
      <c r="I278" s="17">
        <v>250000</v>
      </c>
      <c r="J278" t="s">
        <v>405</v>
      </c>
      <c r="K278" s="21" t="s">
        <v>500</v>
      </c>
      <c r="L278">
        <v>0</v>
      </c>
      <c r="M278">
        <v>0</v>
      </c>
      <c r="N278" s="17">
        <v>2000000</v>
      </c>
      <c r="O278" s="24">
        <f t="shared" si="35"/>
        <v>7000000</v>
      </c>
      <c r="P278" t="s">
        <v>497</v>
      </c>
      <c r="Q278">
        <f t="shared" ca="1" si="36"/>
        <v>100000</v>
      </c>
      <c r="R278" t="s">
        <v>503</v>
      </c>
      <c r="S278">
        <v>1.87</v>
      </c>
      <c r="T278" s="20">
        <f t="shared" ca="1" si="37"/>
        <v>46296</v>
      </c>
      <c r="U278">
        <f ca="1">_xlfn.DAYS(H277,T277)</f>
        <v>-274</v>
      </c>
      <c r="V278" t="str">
        <f t="shared" ca="1" si="38"/>
        <v>Pre contrato</v>
      </c>
      <c r="W278" s="34">
        <f t="shared" si="39"/>
        <v>1500000</v>
      </c>
      <c r="X278" s="34">
        <f t="shared" si="40"/>
        <v>3250000</v>
      </c>
    </row>
    <row r="279" spans="1:24">
      <c r="A279" t="s">
        <v>291</v>
      </c>
      <c r="B279" t="s">
        <v>337</v>
      </c>
      <c r="C279" s="6" t="s">
        <v>337</v>
      </c>
      <c r="D279" s="6" t="s">
        <v>305</v>
      </c>
      <c r="E279">
        <f t="shared" ca="1" si="34"/>
        <v>27</v>
      </c>
      <c r="F279" s="20">
        <v>36430</v>
      </c>
      <c r="G279" s="20">
        <v>45306</v>
      </c>
      <c r="H279" s="20">
        <v>47118</v>
      </c>
      <c r="I279" s="17">
        <v>50000</v>
      </c>
      <c r="J279" t="s">
        <v>405</v>
      </c>
      <c r="K279" s="21" t="s">
        <v>500</v>
      </c>
      <c r="L279">
        <v>0</v>
      </c>
      <c r="M279">
        <v>0</v>
      </c>
      <c r="N279" s="17">
        <v>300000</v>
      </c>
      <c r="O279" s="24">
        <f t="shared" si="35"/>
        <v>1050000</v>
      </c>
      <c r="P279" t="s">
        <v>493</v>
      </c>
      <c r="Q279">
        <f t="shared" ca="1" si="36"/>
        <v>120000</v>
      </c>
      <c r="R279" t="s">
        <v>503</v>
      </c>
      <c r="S279">
        <v>1.91</v>
      </c>
      <c r="T279" s="20">
        <f t="shared" ca="1" si="37"/>
        <v>46296</v>
      </c>
      <c r="U279">
        <f t="shared" ref="U279:U310" ca="1" si="41">_xlfn.DAYS(H279,T279)</f>
        <v>822</v>
      </c>
      <c r="V279" t="str">
        <f t="shared" ca="1" si="38"/>
        <v>Com Contrato em vigor</v>
      </c>
      <c r="W279" s="34">
        <f t="shared" si="39"/>
        <v>300000</v>
      </c>
      <c r="X279" s="34">
        <f t="shared" si="40"/>
        <v>650000</v>
      </c>
    </row>
    <row r="280" spans="1:24">
      <c r="A280" t="s">
        <v>292</v>
      </c>
      <c r="B280" t="s">
        <v>337</v>
      </c>
      <c r="C280" s="6" t="s">
        <v>337</v>
      </c>
      <c r="D280" s="6" t="s">
        <v>342</v>
      </c>
      <c r="E280">
        <f t="shared" ca="1" si="34"/>
        <v>26</v>
      </c>
      <c r="F280" s="20">
        <v>36574</v>
      </c>
      <c r="G280" s="20">
        <v>45492</v>
      </c>
      <c r="H280" s="20">
        <v>46752</v>
      </c>
      <c r="I280" s="17">
        <v>60000</v>
      </c>
      <c r="J280" t="s">
        <v>485</v>
      </c>
      <c r="K280" s="21" t="s">
        <v>500</v>
      </c>
      <c r="L280">
        <v>0</v>
      </c>
      <c r="M280">
        <v>0</v>
      </c>
      <c r="N280" s="17">
        <v>100000</v>
      </c>
      <c r="O280" s="24">
        <f t="shared" si="35"/>
        <v>350000</v>
      </c>
      <c r="P280" t="s">
        <v>493</v>
      </c>
      <c r="Q280">
        <f t="shared" ca="1" si="36"/>
        <v>120000</v>
      </c>
      <c r="R280" t="s">
        <v>503</v>
      </c>
      <c r="S280">
        <v>1.87</v>
      </c>
      <c r="T280" s="20">
        <f t="shared" ca="1" si="37"/>
        <v>46296</v>
      </c>
      <c r="U280">
        <f t="shared" ca="1" si="41"/>
        <v>456</v>
      </c>
      <c r="V280" t="str">
        <f t="shared" ca="1" si="38"/>
        <v>Com Contrato em vigor</v>
      </c>
      <c r="W280" s="34">
        <f t="shared" si="39"/>
        <v>360000</v>
      </c>
      <c r="X280" s="34">
        <f t="shared" si="40"/>
        <v>780000</v>
      </c>
    </row>
    <row r="281" spans="1:24">
      <c r="A281" t="s">
        <v>293</v>
      </c>
      <c r="B281" t="s">
        <v>337</v>
      </c>
      <c r="C281" s="6" t="s">
        <v>337</v>
      </c>
      <c r="D281" s="6" t="s">
        <v>305</v>
      </c>
      <c r="E281">
        <f t="shared" ca="1" si="34"/>
        <v>26</v>
      </c>
      <c r="F281" s="20">
        <v>36597</v>
      </c>
      <c r="G281" s="20">
        <v>44929</v>
      </c>
      <c r="H281" s="20">
        <v>46022</v>
      </c>
      <c r="I281" s="17">
        <v>45000</v>
      </c>
      <c r="J281" t="s">
        <v>376</v>
      </c>
      <c r="K281" s="6" t="s">
        <v>500</v>
      </c>
      <c r="L281">
        <v>0</v>
      </c>
      <c r="M281">
        <v>0</v>
      </c>
      <c r="N281" s="17">
        <v>75000</v>
      </c>
      <c r="O281" s="24">
        <f t="shared" si="35"/>
        <v>262500</v>
      </c>
      <c r="P281" t="s">
        <v>493</v>
      </c>
      <c r="Q281">
        <f t="shared" ca="1" si="36"/>
        <v>120000</v>
      </c>
      <c r="R281" t="s">
        <v>503</v>
      </c>
      <c r="S281">
        <v>1.89</v>
      </c>
      <c r="T281" s="20">
        <f t="shared" ca="1" si="37"/>
        <v>46296</v>
      </c>
      <c r="U281">
        <f t="shared" ca="1" si="41"/>
        <v>-274</v>
      </c>
      <c r="V281" t="str">
        <f t="shared" ca="1" si="38"/>
        <v>Pre contrato</v>
      </c>
      <c r="W281" s="34">
        <f t="shared" si="39"/>
        <v>270000</v>
      </c>
      <c r="X281" s="34">
        <f t="shared" si="40"/>
        <v>585000</v>
      </c>
    </row>
    <row r="282" spans="1:24">
      <c r="A282" s="6" t="s">
        <v>142</v>
      </c>
      <c r="B282" t="s">
        <v>324</v>
      </c>
      <c r="C282" s="6" t="s">
        <v>324</v>
      </c>
      <c r="D282" s="6" t="s">
        <v>305</v>
      </c>
      <c r="E282">
        <f t="shared" ca="1" si="34"/>
        <v>30</v>
      </c>
      <c r="F282" s="11">
        <v>35168</v>
      </c>
      <c r="G282" s="9">
        <v>45169</v>
      </c>
      <c r="H282" s="9">
        <v>46752</v>
      </c>
      <c r="I282" s="12">
        <v>350000</v>
      </c>
      <c r="J282" s="6" t="s">
        <v>425</v>
      </c>
      <c r="K282" s="6" t="s">
        <v>495</v>
      </c>
      <c r="L282" s="6">
        <v>0</v>
      </c>
      <c r="M282" s="6">
        <v>0</v>
      </c>
      <c r="N282" s="12">
        <v>5000000</v>
      </c>
      <c r="O282" s="24">
        <f t="shared" si="35"/>
        <v>17500000</v>
      </c>
      <c r="P282" s="6" t="s">
        <v>493</v>
      </c>
      <c r="Q282">
        <f t="shared" ca="1" si="36"/>
        <v>120000</v>
      </c>
      <c r="R282" s="6" t="s">
        <v>506</v>
      </c>
      <c r="S282" s="6">
        <v>1.88</v>
      </c>
      <c r="T282" s="9">
        <f t="shared" ca="1" si="37"/>
        <v>46296</v>
      </c>
      <c r="U282" s="6">
        <f t="shared" ca="1" si="41"/>
        <v>456</v>
      </c>
      <c r="V282" s="6" t="str">
        <f t="shared" ca="1" si="38"/>
        <v>Com Contrato em vigor</v>
      </c>
      <c r="W282" s="34">
        <f t="shared" si="39"/>
        <v>2100000</v>
      </c>
      <c r="X282" s="34">
        <f t="shared" si="40"/>
        <v>4550000</v>
      </c>
    </row>
    <row r="283" spans="1:24">
      <c r="A283" s="6" t="s">
        <v>143</v>
      </c>
      <c r="B283" t="s">
        <v>324</v>
      </c>
      <c r="C283" s="6" t="s">
        <v>325</v>
      </c>
      <c r="D283" s="6" t="s">
        <v>305</v>
      </c>
      <c r="E283">
        <f t="shared" ca="1" si="34"/>
        <v>25</v>
      </c>
      <c r="F283" s="11">
        <v>36905</v>
      </c>
      <c r="G283" s="9">
        <v>45134</v>
      </c>
      <c r="H283" s="9">
        <v>45657</v>
      </c>
      <c r="I283" s="12">
        <v>240000</v>
      </c>
      <c r="J283" s="6" t="s">
        <v>348</v>
      </c>
      <c r="K283" s="6" t="s">
        <v>495</v>
      </c>
      <c r="L283" s="6">
        <v>0</v>
      </c>
      <c r="M283" s="6">
        <v>0</v>
      </c>
      <c r="N283" s="12">
        <v>2000000</v>
      </c>
      <c r="O283" s="24">
        <f t="shared" si="35"/>
        <v>7000000</v>
      </c>
      <c r="P283" s="6" t="s">
        <v>493</v>
      </c>
      <c r="Q283">
        <f t="shared" ca="1" si="36"/>
        <v>120000</v>
      </c>
      <c r="R283" s="6" t="s">
        <v>506</v>
      </c>
      <c r="S283" s="6">
        <v>1.95</v>
      </c>
      <c r="T283" s="9">
        <f t="shared" ca="1" si="37"/>
        <v>46296</v>
      </c>
      <c r="U283" s="6">
        <f t="shared" ca="1" si="41"/>
        <v>-639</v>
      </c>
      <c r="V283" s="6" t="str">
        <f t="shared" ca="1" si="38"/>
        <v>Pre contrato</v>
      </c>
      <c r="W283" s="34">
        <f t="shared" si="39"/>
        <v>1440000</v>
      </c>
      <c r="X283" s="34">
        <f t="shared" si="40"/>
        <v>3120000</v>
      </c>
    </row>
    <row r="284" spans="1:24">
      <c r="A284" s="6" t="s">
        <v>144</v>
      </c>
      <c r="B284" t="s">
        <v>324</v>
      </c>
      <c r="C284" s="6" t="s">
        <v>324</v>
      </c>
      <c r="D284" s="6" t="s">
        <v>305</v>
      </c>
      <c r="E284">
        <f t="shared" ca="1" si="34"/>
        <v>38</v>
      </c>
      <c r="F284" s="11">
        <v>32236</v>
      </c>
      <c r="G284" s="9">
        <v>44562</v>
      </c>
      <c r="H284" s="9">
        <v>45657</v>
      </c>
      <c r="I284" s="12">
        <v>520000</v>
      </c>
      <c r="J284" s="6" t="s">
        <v>426</v>
      </c>
      <c r="K284" s="6" t="s">
        <v>495</v>
      </c>
      <c r="L284" s="6">
        <v>0</v>
      </c>
      <c r="M284" s="6">
        <v>0</v>
      </c>
      <c r="N284" s="12">
        <v>500000</v>
      </c>
      <c r="O284" s="24">
        <f t="shared" si="35"/>
        <v>1750000</v>
      </c>
      <c r="P284" s="6" t="s">
        <v>493</v>
      </c>
      <c r="Q284">
        <f t="shared" ca="1" si="36"/>
        <v>100000</v>
      </c>
      <c r="R284" s="6" t="s">
        <v>506</v>
      </c>
      <c r="S284" s="6">
        <v>1.88</v>
      </c>
      <c r="T284" s="9">
        <f t="shared" ca="1" si="37"/>
        <v>46296</v>
      </c>
      <c r="U284" s="6">
        <f t="shared" ca="1" si="41"/>
        <v>-639</v>
      </c>
      <c r="V284" s="6" t="str">
        <f t="shared" ca="1" si="38"/>
        <v>Pre contrato</v>
      </c>
      <c r="W284" s="34">
        <f t="shared" si="39"/>
        <v>3120000</v>
      </c>
      <c r="X284" s="34">
        <f t="shared" si="40"/>
        <v>6760000</v>
      </c>
    </row>
    <row r="285" spans="1:24">
      <c r="A285" s="6" t="s">
        <v>145</v>
      </c>
      <c r="B285" t="s">
        <v>324</v>
      </c>
      <c r="C285" s="6" t="s">
        <v>324</v>
      </c>
      <c r="D285" s="6" t="s">
        <v>305</v>
      </c>
      <c r="E285">
        <f t="shared" ca="1" si="34"/>
        <v>22</v>
      </c>
      <c r="F285" s="11">
        <v>38202</v>
      </c>
      <c r="G285" s="9">
        <v>44927</v>
      </c>
      <c r="H285" s="9">
        <v>45838</v>
      </c>
      <c r="I285" s="12">
        <v>120000</v>
      </c>
      <c r="J285" s="6" t="s">
        <v>427</v>
      </c>
      <c r="K285" s="6" t="s">
        <v>495</v>
      </c>
      <c r="L285" s="6">
        <v>0</v>
      </c>
      <c r="M285" s="6">
        <v>0</v>
      </c>
      <c r="N285" s="12">
        <v>1000000</v>
      </c>
      <c r="O285" s="24">
        <f t="shared" si="35"/>
        <v>3500000</v>
      </c>
      <c r="P285" s="6" t="s">
        <v>493</v>
      </c>
      <c r="Q285">
        <f t="shared" ca="1" si="36"/>
        <v>160000</v>
      </c>
      <c r="R285" s="6" t="s">
        <v>506</v>
      </c>
      <c r="S285" s="6">
        <v>1.93</v>
      </c>
      <c r="T285" s="9">
        <f t="shared" ca="1" si="37"/>
        <v>46296</v>
      </c>
      <c r="U285" s="6">
        <f t="shared" ca="1" si="41"/>
        <v>-458</v>
      </c>
      <c r="V285" s="6" t="str">
        <f t="shared" ca="1" si="38"/>
        <v>Pre contrato</v>
      </c>
      <c r="W285" s="34">
        <f t="shared" si="39"/>
        <v>720000</v>
      </c>
      <c r="X285" s="34">
        <f t="shared" si="40"/>
        <v>1560000</v>
      </c>
    </row>
    <row r="286" spans="1:24">
      <c r="A286" s="6" t="s">
        <v>146</v>
      </c>
      <c r="B286" t="s">
        <v>324</v>
      </c>
      <c r="C286" s="6" t="s">
        <v>324</v>
      </c>
      <c r="D286" s="6" t="s">
        <v>305</v>
      </c>
      <c r="E286">
        <f t="shared" ca="1" si="34"/>
        <v>29</v>
      </c>
      <c r="F286" s="11">
        <v>35496</v>
      </c>
      <c r="G286" s="9">
        <v>45160</v>
      </c>
      <c r="H286" s="9">
        <v>46752</v>
      </c>
      <c r="I286" s="12">
        <v>570000</v>
      </c>
      <c r="J286" s="6" t="s">
        <v>428</v>
      </c>
      <c r="K286" s="6" t="s">
        <v>492</v>
      </c>
      <c r="L286" s="6">
        <v>1</v>
      </c>
      <c r="M286" s="6">
        <v>12</v>
      </c>
      <c r="N286" s="12">
        <v>6000000</v>
      </c>
      <c r="O286" s="24">
        <f t="shared" si="35"/>
        <v>21000000</v>
      </c>
      <c r="P286" s="6" t="s">
        <v>493</v>
      </c>
      <c r="Q286">
        <f t="shared" ca="1" si="36"/>
        <v>120000</v>
      </c>
      <c r="R286" s="6" t="s">
        <v>506</v>
      </c>
      <c r="S286" s="6">
        <v>1.86</v>
      </c>
      <c r="T286" s="9">
        <f t="shared" ca="1" si="37"/>
        <v>46296</v>
      </c>
      <c r="U286" s="6">
        <f t="shared" ca="1" si="41"/>
        <v>456</v>
      </c>
      <c r="V286" s="6" t="str">
        <f t="shared" ca="1" si="38"/>
        <v>Com Contrato em vigor</v>
      </c>
      <c r="W286" s="34">
        <f t="shared" si="39"/>
        <v>3420000</v>
      </c>
      <c r="X286" s="34">
        <f t="shared" si="40"/>
        <v>7410000</v>
      </c>
    </row>
    <row r="287" spans="1:24">
      <c r="A287" s="6" t="s">
        <v>147</v>
      </c>
      <c r="B287" t="s">
        <v>324</v>
      </c>
      <c r="C287" s="6" t="s">
        <v>324</v>
      </c>
      <c r="D287" s="6" t="s">
        <v>305</v>
      </c>
      <c r="E287">
        <f t="shared" ca="1" si="34"/>
        <v>25</v>
      </c>
      <c r="F287" s="11">
        <v>37017</v>
      </c>
      <c r="G287" s="9">
        <v>44562</v>
      </c>
      <c r="H287" s="9">
        <v>46752</v>
      </c>
      <c r="I287" s="12">
        <v>470000</v>
      </c>
      <c r="J287" s="6" t="s">
        <v>348</v>
      </c>
      <c r="K287" s="6" t="s">
        <v>492</v>
      </c>
      <c r="L287" s="6">
        <v>3</v>
      </c>
      <c r="M287" s="6">
        <v>63</v>
      </c>
      <c r="N287" s="12">
        <v>6560000</v>
      </c>
      <c r="O287" s="24">
        <f t="shared" si="35"/>
        <v>22960000</v>
      </c>
      <c r="P287" s="6" t="s">
        <v>493</v>
      </c>
      <c r="Q287">
        <f t="shared" ca="1" si="36"/>
        <v>120000</v>
      </c>
      <c r="R287" s="6" t="s">
        <v>506</v>
      </c>
      <c r="S287" s="6">
        <v>1.9</v>
      </c>
      <c r="T287" s="9">
        <f t="shared" ca="1" si="37"/>
        <v>46296</v>
      </c>
      <c r="U287" s="6">
        <f t="shared" ca="1" si="41"/>
        <v>456</v>
      </c>
      <c r="V287" s="6" t="str">
        <f t="shared" ca="1" si="38"/>
        <v>Com Contrato em vigor</v>
      </c>
      <c r="W287" s="34">
        <f t="shared" si="39"/>
        <v>2820000</v>
      </c>
      <c r="X287" s="34">
        <f t="shared" si="40"/>
        <v>6110000</v>
      </c>
    </row>
    <row r="288" spans="1:24">
      <c r="A288" s="6" t="s">
        <v>148</v>
      </c>
      <c r="B288" t="s">
        <v>324</v>
      </c>
      <c r="C288" s="6" t="s">
        <v>324</v>
      </c>
      <c r="D288" s="6" t="s">
        <v>305</v>
      </c>
      <c r="E288">
        <f t="shared" ca="1" si="34"/>
        <v>35</v>
      </c>
      <c r="F288" s="11">
        <v>33378</v>
      </c>
      <c r="G288" s="9">
        <v>45017</v>
      </c>
      <c r="H288" s="9">
        <v>46387</v>
      </c>
      <c r="I288" s="12">
        <v>458000</v>
      </c>
      <c r="J288" s="6" t="s">
        <v>348</v>
      </c>
      <c r="K288" s="6" t="s">
        <v>492</v>
      </c>
      <c r="L288" s="6">
        <v>5</v>
      </c>
      <c r="M288" s="6">
        <v>85</v>
      </c>
      <c r="N288" s="12">
        <v>1500000</v>
      </c>
      <c r="O288" s="24">
        <f t="shared" si="35"/>
        <v>5250000</v>
      </c>
      <c r="P288" s="6" t="s">
        <v>497</v>
      </c>
      <c r="Q288">
        <f t="shared" ca="1" si="36"/>
        <v>100000</v>
      </c>
      <c r="R288" s="6" t="s">
        <v>505</v>
      </c>
      <c r="S288" s="6">
        <v>1.87</v>
      </c>
      <c r="T288" s="9">
        <f t="shared" ca="1" si="37"/>
        <v>46296</v>
      </c>
      <c r="U288" s="6">
        <f t="shared" ca="1" si="41"/>
        <v>91</v>
      </c>
      <c r="V288" s="6" t="str">
        <f t="shared" ca="1" si="38"/>
        <v>Pre contrato</v>
      </c>
      <c r="W288" s="34">
        <f t="shared" si="39"/>
        <v>2748000</v>
      </c>
      <c r="X288" s="34">
        <f t="shared" si="40"/>
        <v>5954000</v>
      </c>
    </row>
    <row r="289" spans="1:24">
      <c r="A289" s="6" t="s">
        <v>149</v>
      </c>
      <c r="B289" t="s">
        <v>324</v>
      </c>
      <c r="C289" s="6" t="s">
        <v>324</v>
      </c>
      <c r="D289" s="6" t="s">
        <v>305</v>
      </c>
      <c r="E289">
        <f t="shared" ca="1" si="34"/>
        <v>31</v>
      </c>
      <c r="F289" s="11">
        <v>34723</v>
      </c>
      <c r="G289" s="9">
        <v>45301</v>
      </c>
      <c r="H289" s="9">
        <v>46387</v>
      </c>
      <c r="I289" s="12">
        <v>340000</v>
      </c>
      <c r="J289" s="15" t="s">
        <v>429</v>
      </c>
      <c r="K289" s="6" t="s">
        <v>492</v>
      </c>
      <c r="L289" s="6">
        <v>0</v>
      </c>
      <c r="M289" s="6">
        <v>0</v>
      </c>
      <c r="N289" s="12">
        <v>1500000</v>
      </c>
      <c r="O289" s="24">
        <f t="shared" si="35"/>
        <v>5250000</v>
      </c>
      <c r="P289" s="6" t="s">
        <v>493</v>
      </c>
      <c r="Q289">
        <f t="shared" ca="1" si="36"/>
        <v>100000</v>
      </c>
      <c r="R289" s="6" t="s">
        <v>506</v>
      </c>
      <c r="S289" s="6">
        <v>1.93</v>
      </c>
      <c r="T289" s="9">
        <f t="shared" ca="1" si="37"/>
        <v>46296</v>
      </c>
      <c r="U289" s="6">
        <f t="shared" ca="1" si="41"/>
        <v>91</v>
      </c>
      <c r="V289" s="6" t="str">
        <f t="shared" ca="1" si="38"/>
        <v>Pre contrato</v>
      </c>
      <c r="W289" s="34">
        <f t="shared" si="39"/>
        <v>2040000</v>
      </c>
      <c r="X289" s="34">
        <f t="shared" si="40"/>
        <v>4420000</v>
      </c>
    </row>
    <row r="290" spans="1:24">
      <c r="A290" s="6" t="s">
        <v>150</v>
      </c>
      <c r="B290" t="s">
        <v>324</v>
      </c>
      <c r="C290" s="6" t="s">
        <v>324</v>
      </c>
      <c r="D290" s="6" t="s">
        <v>342</v>
      </c>
      <c r="E290">
        <f t="shared" ca="1" si="34"/>
        <v>37</v>
      </c>
      <c r="F290" s="11">
        <v>32466</v>
      </c>
      <c r="G290" s="9">
        <v>45314</v>
      </c>
      <c r="H290" s="9">
        <v>45657</v>
      </c>
      <c r="I290" s="12">
        <v>670000</v>
      </c>
      <c r="J290" s="6" t="s">
        <v>430</v>
      </c>
      <c r="K290" s="6" t="s">
        <v>492</v>
      </c>
      <c r="L290" s="6">
        <v>1</v>
      </c>
      <c r="M290" s="6">
        <v>23</v>
      </c>
      <c r="N290" s="12">
        <v>4500000</v>
      </c>
      <c r="O290" s="24">
        <f t="shared" si="35"/>
        <v>15750000</v>
      </c>
      <c r="P290" s="6" t="s">
        <v>497</v>
      </c>
      <c r="Q290">
        <f t="shared" ca="1" si="36"/>
        <v>100000</v>
      </c>
      <c r="R290" s="6" t="s">
        <v>506</v>
      </c>
      <c r="S290" s="6">
        <v>1.87</v>
      </c>
      <c r="T290" s="9">
        <f t="shared" ca="1" si="37"/>
        <v>46296</v>
      </c>
      <c r="U290" s="6">
        <f t="shared" ca="1" si="41"/>
        <v>-639</v>
      </c>
      <c r="V290" s="6" t="str">
        <f t="shared" ca="1" si="38"/>
        <v>Pre contrato</v>
      </c>
      <c r="W290" s="34">
        <f t="shared" si="39"/>
        <v>4020000</v>
      </c>
      <c r="X290" s="34">
        <f t="shared" si="40"/>
        <v>8710000</v>
      </c>
    </row>
    <row r="291" spans="1:24">
      <c r="A291" s="6" t="s">
        <v>151</v>
      </c>
      <c r="B291" t="s">
        <v>324</v>
      </c>
      <c r="C291" s="6" t="s">
        <v>324</v>
      </c>
      <c r="D291" s="6" t="s">
        <v>305</v>
      </c>
      <c r="E291">
        <f t="shared" ca="1" si="34"/>
        <v>29</v>
      </c>
      <c r="F291" s="11">
        <v>35512</v>
      </c>
      <c r="G291" s="9">
        <v>45483</v>
      </c>
      <c r="H291" s="9">
        <v>47118</v>
      </c>
      <c r="I291" s="12">
        <v>434100</v>
      </c>
      <c r="J291" s="6" t="s">
        <v>431</v>
      </c>
      <c r="K291" s="6" t="s">
        <v>502</v>
      </c>
      <c r="L291" s="6">
        <v>0</v>
      </c>
      <c r="M291" s="6">
        <v>0</v>
      </c>
      <c r="N291" s="12">
        <v>4000000</v>
      </c>
      <c r="O291" s="24">
        <f t="shared" si="35"/>
        <v>14000000</v>
      </c>
      <c r="P291" s="6" t="s">
        <v>497</v>
      </c>
      <c r="Q291">
        <f t="shared" ca="1" si="36"/>
        <v>120000</v>
      </c>
      <c r="R291" s="6" t="s">
        <v>506</v>
      </c>
      <c r="S291" s="6">
        <v>1.81</v>
      </c>
      <c r="T291" s="9">
        <f t="shared" ca="1" si="37"/>
        <v>46296</v>
      </c>
      <c r="U291" s="6">
        <f t="shared" ca="1" si="41"/>
        <v>822</v>
      </c>
      <c r="V291" s="6" t="str">
        <f t="shared" ca="1" si="38"/>
        <v>Com Contrato em vigor</v>
      </c>
      <c r="W291" s="34">
        <f t="shared" si="39"/>
        <v>2604600</v>
      </c>
      <c r="X291" s="34">
        <f t="shared" si="40"/>
        <v>5643300</v>
      </c>
    </row>
    <row r="292" spans="1:24">
      <c r="A292" s="6" t="s">
        <v>152</v>
      </c>
      <c r="B292" t="s">
        <v>324</v>
      </c>
      <c r="C292" s="6" t="s">
        <v>324</v>
      </c>
      <c r="D292" s="6" t="s">
        <v>305</v>
      </c>
      <c r="E292">
        <f t="shared" ca="1" si="34"/>
        <v>27</v>
      </c>
      <c r="F292" s="11">
        <v>36401</v>
      </c>
      <c r="G292" s="9">
        <v>45170</v>
      </c>
      <c r="H292" s="9">
        <v>46752</v>
      </c>
      <c r="I292" s="12">
        <v>460752</v>
      </c>
      <c r="J292" s="6" t="s">
        <v>432</v>
      </c>
      <c r="K292" s="6" t="s">
        <v>496</v>
      </c>
      <c r="L292" s="6">
        <v>0</v>
      </c>
      <c r="M292" s="6">
        <v>0</v>
      </c>
      <c r="N292" s="12">
        <v>3807000</v>
      </c>
      <c r="O292" s="24">
        <f t="shared" si="35"/>
        <v>13324500</v>
      </c>
      <c r="P292" s="6" t="s">
        <v>497</v>
      </c>
      <c r="Q292">
        <f t="shared" ca="1" si="36"/>
        <v>120000</v>
      </c>
      <c r="R292" s="6" t="s">
        <v>506</v>
      </c>
      <c r="S292" s="6">
        <v>1.76</v>
      </c>
      <c r="T292" s="9">
        <f t="shared" ca="1" si="37"/>
        <v>46296</v>
      </c>
      <c r="U292" s="6">
        <f t="shared" ca="1" si="41"/>
        <v>456</v>
      </c>
      <c r="V292" s="6" t="str">
        <f t="shared" ca="1" si="38"/>
        <v>Com Contrato em vigor</v>
      </c>
      <c r="W292" s="34">
        <f t="shared" si="39"/>
        <v>2764512</v>
      </c>
      <c r="X292" s="34">
        <f t="shared" si="40"/>
        <v>5989776</v>
      </c>
    </row>
    <row r="293" spans="1:24">
      <c r="A293" s="6" t="s">
        <v>153</v>
      </c>
      <c r="B293" t="s">
        <v>324</v>
      </c>
      <c r="C293" s="6" t="s">
        <v>324</v>
      </c>
      <c r="D293" s="6" t="s">
        <v>305</v>
      </c>
      <c r="E293">
        <f t="shared" ca="1" si="34"/>
        <v>33</v>
      </c>
      <c r="F293" s="11">
        <v>34035</v>
      </c>
      <c r="G293" s="9">
        <v>45116</v>
      </c>
      <c r="H293" s="9">
        <v>46203</v>
      </c>
      <c r="I293" s="12">
        <v>700000</v>
      </c>
      <c r="J293" s="6" t="s">
        <v>433</v>
      </c>
      <c r="K293" s="6" t="s">
        <v>498</v>
      </c>
      <c r="L293" s="6">
        <v>0</v>
      </c>
      <c r="M293" s="6">
        <v>0</v>
      </c>
      <c r="N293" s="12">
        <v>8000000</v>
      </c>
      <c r="O293" s="24">
        <f t="shared" si="35"/>
        <v>28000000</v>
      </c>
      <c r="P293" s="6" t="s">
        <v>493</v>
      </c>
      <c r="Q293">
        <f t="shared" ca="1" si="36"/>
        <v>100000</v>
      </c>
      <c r="R293" s="6" t="s">
        <v>506</v>
      </c>
      <c r="S293" s="6">
        <v>1.81</v>
      </c>
      <c r="T293" s="9">
        <f t="shared" ca="1" si="37"/>
        <v>46296</v>
      </c>
      <c r="U293" s="6">
        <f t="shared" ca="1" si="41"/>
        <v>-93</v>
      </c>
      <c r="V293" s="6" t="str">
        <f t="shared" ca="1" si="38"/>
        <v>Pre contrato</v>
      </c>
      <c r="W293" s="34">
        <f t="shared" si="39"/>
        <v>4200000</v>
      </c>
      <c r="X293" s="34">
        <f t="shared" si="40"/>
        <v>9100000</v>
      </c>
    </row>
    <row r="294" spans="1:24">
      <c r="A294" s="6" t="s">
        <v>154</v>
      </c>
      <c r="B294" t="s">
        <v>324</v>
      </c>
      <c r="C294" s="6" t="s">
        <v>324</v>
      </c>
      <c r="D294" s="6" t="s">
        <v>318</v>
      </c>
      <c r="E294">
        <f t="shared" ca="1" si="34"/>
        <v>34</v>
      </c>
      <c r="F294" s="11">
        <v>33616</v>
      </c>
      <c r="G294" s="9">
        <v>45319</v>
      </c>
      <c r="H294" s="9">
        <v>46022</v>
      </c>
      <c r="I294" s="12">
        <v>650000</v>
      </c>
      <c r="J294" s="6" t="s">
        <v>434</v>
      </c>
      <c r="K294" s="6" t="s">
        <v>498</v>
      </c>
      <c r="L294" s="6">
        <v>1</v>
      </c>
      <c r="M294" s="6">
        <v>17</v>
      </c>
      <c r="N294" s="12">
        <v>3500000</v>
      </c>
      <c r="O294" s="24">
        <f t="shared" si="35"/>
        <v>12250000</v>
      </c>
      <c r="P294" s="6" t="s">
        <v>493</v>
      </c>
      <c r="Q294">
        <f t="shared" ca="1" si="36"/>
        <v>100000</v>
      </c>
      <c r="R294" s="6" t="s">
        <v>506</v>
      </c>
      <c r="S294" s="6">
        <v>1.78</v>
      </c>
      <c r="T294" s="9">
        <f t="shared" ca="1" si="37"/>
        <v>46296</v>
      </c>
      <c r="U294" s="6">
        <f t="shared" ca="1" si="41"/>
        <v>-274</v>
      </c>
      <c r="V294" s="6" t="str">
        <f t="shared" ca="1" si="38"/>
        <v>Pre contrato</v>
      </c>
      <c r="W294" s="34">
        <f t="shared" si="39"/>
        <v>3900000</v>
      </c>
      <c r="X294" s="34">
        <f t="shared" si="40"/>
        <v>8450000</v>
      </c>
    </row>
    <row r="295" spans="1:24">
      <c r="A295" s="6" t="s">
        <v>155</v>
      </c>
      <c r="B295" t="s">
        <v>324</v>
      </c>
      <c r="C295" s="6" t="s">
        <v>324</v>
      </c>
      <c r="D295" s="6" t="s">
        <v>305</v>
      </c>
      <c r="E295">
        <f t="shared" ca="1" si="34"/>
        <v>22</v>
      </c>
      <c r="F295" s="11">
        <v>37901</v>
      </c>
      <c r="G295" s="9">
        <v>44927</v>
      </c>
      <c r="H295" s="9">
        <v>46660</v>
      </c>
      <c r="I295" s="12">
        <v>250000</v>
      </c>
      <c r="J295" s="6" t="s">
        <v>379</v>
      </c>
      <c r="K295" s="6" t="s">
        <v>498</v>
      </c>
      <c r="L295" s="6">
        <v>3</v>
      </c>
      <c r="M295" s="6">
        <v>42</v>
      </c>
      <c r="N295" s="12">
        <v>650000</v>
      </c>
      <c r="O295" s="24">
        <f t="shared" si="35"/>
        <v>2275000</v>
      </c>
      <c r="P295" s="6" t="s">
        <v>493</v>
      </c>
      <c r="Q295">
        <f t="shared" ca="1" si="36"/>
        <v>160000</v>
      </c>
      <c r="R295" s="6" t="s">
        <v>505</v>
      </c>
      <c r="S295" s="6">
        <v>1.78</v>
      </c>
      <c r="T295" s="9">
        <f t="shared" ca="1" si="37"/>
        <v>46296</v>
      </c>
      <c r="U295" s="6">
        <f t="shared" ca="1" si="41"/>
        <v>364</v>
      </c>
      <c r="V295" s="6" t="str">
        <f t="shared" ca="1" si="38"/>
        <v>Com Contrato em vigor</v>
      </c>
      <c r="W295" s="34">
        <f t="shared" si="39"/>
        <v>1500000</v>
      </c>
      <c r="X295" s="34">
        <f t="shared" si="40"/>
        <v>3250000</v>
      </c>
    </row>
    <row r="296" spans="1:24">
      <c r="A296" s="6" t="s">
        <v>156</v>
      </c>
      <c r="B296" t="s">
        <v>324</v>
      </c>
      <c r="C296" s="6" t="s">
        <v>324</v>
      </c>
      <c r="D296" s="6" t="s">
        <v>305</v>
      </c>
      <c r="E296">
        <f t="shared" ca="1" si="34"/>
        <v>37</v>
      </c>
      <c r="F296" s="11">
        <v>32503</v>
      </c>
      <c r="G296" s="9">
        <v>44938</v>
      </c>
      <c r="H296" s="9">
        <v>45657</v>
      </c>
      <c r="I296" s="12">
        <v>180000</v>
      </c>
      <c r="J296" s="6" t="s">
        <v>355</v>
      </c>
      <c r="K296" s="6" t="s">
        <v>498</v>
      </c>
      <c r="L296" s="6">
        <v>6</v>
      </c>
      <c r="M296" s="6">
        <v>31</v>
      </c>
      <c r="N296" s="12">
        <v>500000</v>
      </c>
      <c r="O296" s="24">
        <f t="shared" si="35"/>
        <v>1750000</v>
      </c>
      <c r="P296" s="6" t="s">
        <v>493</v>
      </c>
      <c r="Q296">
        <f t="shared" ca="1" si="36"/>
        <v>100000</v>
      </c>
      <c r="R296" s="6" t="s">
        <v>503</v>
      </c>
      <c r="S296" s="6">
        <v>1.68</v>
      </c>
      <c r="T296" s="9">
        <f t="shared" ca="1" si="37"/>
        <v>46296</v>
      </c>
      <c r="U296" s="6">
        <f t="shared" ca="1" si="41"/>
        <v>-639</v>
      </c>
      <c r="V296" s="6" t="str">
        <f t="shared" ca="1" si="38"/>
        <v>Pre contrato</v>
      </c>
      <c r="W296" s="34">
        <f t="shared" si="39"/>
        <v>1080000</v>
      </c>
      <c r="X296" s="34">
        <f t="shared" si="40"/>
        <v>2340000</v>
      </c>
    </row>
    <row r="297" spans="1:24">
      <c r="A297" s="6" t="s">
        <v>157</v>
      </c>
      <c r="B297" t="s">
        <v>324</v>
      </c>
      <c r="C297" s="6" t="s">
        <v>324</v>
      </c>
      <c r="D297" s="6" t="s">
        <v>305</v>
      </c>
      <c r="E297">
        <f t="shared" ca="1" si="34"/>
        <v>27</v>
      </c>
      <c r="F297" s="11">
        <v>36215</v>
      </c>
      <c r="G297" s="9">
        <v>45309</v>
      </c>
      <c r="H297" s="9">
        <v>47118</v>
      </c>
      <c r="I297" s="12">
        <v>750000</v>
      </c>
      <c r="J297" s="6" t="s">
        <v>435</v>
      </c>
      <c r="K297" s="6" t="s">
        <v>494</v>
      </c>
      <c r="L297" s="6">
        <v>1</v>
      </c>
      <c r="M297" s="6">
        <v>16</v>
      </c>
      <c r="N297" s="12">
        <v>12000000</v>
      </c>
      <c r="O297" s="24">
        <f t="shared" si="35"/>
        <v>42000000</v>
      </c>
      <c r="P297" s="6" t="s">
        <v>493</v>
      </c>
      <c r="Q297">
        <f t="shared" ca="1" si="36"/>
        <v>120000</v>
      </c>
      <c r="R297" s="6" t="s">
        <v>503</v>
      </c>
      <c r="S297" s="6">
        <v>1.74</v>
      </c>
      <c r="T297" s="9">
        <f t="shared" ca="1" si="37"/>
        <v>46296</v>
      </c>
      <c r="U297" s="6">
        <f t="shared" ca="1" si="41"/>
        <v>822</v>
      </c>
      <c r="V297" s="6" t="str">
        <f t="shared" ca="1" si="38"/>
        <v>Com Contrato em vigor</v>
      </c>
      <c r="W297" s="34">
        <f t="shared" si="39"/>
        <v>4500000</v>
      </c>
      <c r="X297" s="34">
        <f t="shared" si="40"/>
        <v>9750000</v>
      </c>
    </row>
    <row r="298" spans="1:24">
      <c r="A298" s="6" t="s">
        <v>158</v>
      </c>
      <c r="B298" t="s">
        <v>324</v>
      </c>
      <c r="C298" s="6" t="s">
        <v>324</v>
      </c>
      <c r="D298" s="6" t="s">
        <v>319</v>
      </c>
      <c r="E298">
        <f t="shared" ca="1" si="34"/>
        <v>27</v>
      </c>
      <c r="F298" s="11">
        <v>36264</v>
      </c>
      <c r="G298" s="9">
        <v>44927</v>
      </c>
      <c r="H298" s="9">
        <v>45657</v>
      </c>
      <c r="I298" s="12">
        <v>700000</v>
      </c>
      <c r="J298" s="6" t="s">
        <v>436</v>
      </c>
      <c r="K298" s="6" t="s">
        <v>494</v>
      </c>
      <c r="L298" s="6">
        <v>0</v>
      </c>
      <c r="M298" s="6">
        <v>0</v>
      </c>
      <c r="N298" s="12">
        <v>7600000</v>
      </c>
      <c r="O298" s="24">
        <f t="shared" si="35"/>
        <v>26600000</v>
      </c>
      <c r="P298" s="6" t="s">
        <v>493</v>
      </c>
      <c r="Q298">
        <f t="shared" ca="1" si="36"/>
        <v>120000</v>
      </c>
      <c r="R298" s="6" t="s">
        <v>506</v>
      </c>
      <c r="S298" s="6">
        <v>1.73</v>
      </c>
      <c r="T298" s="9">
        <f t="shared" ca="1" si="37"/>
        <v>46296</v>
      </c>
      <c r="U298" s="6">
        <f t="shared" ca="1" si="41"/>
        <v>-639</v>
      </c>
      <c r="V298" s="6" t="str">
        <f t="shared" ca="1" si="38"/>
        <v>Pre contrato</v>
      </c>
      <c r="W298" s="34">
        <f t="shared" si="39"/>
        <v>4200000</v>
      </c>
      <c r="X298" s="34">
        <f t="shared" si="40"/>
        <v>9100000</v>
      </c>
    </row>
    <row r="299" spans="1:24">
      <c r="A299" s="6" t="s">
        <v>159</v>
      </c>
      <c r="B299" t="s">
        <v>324</v>
      </c>
      <c r="C299" s="6" t="s">
        <v>324</v>
      </c>
      <c r="D299" s="6" t="s">
        <v>305</v>
      </c>
      <c r="E299">
        <f t="shared" ca="1" si="34"/>
        <v>31</v>
      </c>
      <c r="F299" s="11">
        <v>34701</v>
      </c>
      <c r="G299" s="9">
        <v>44582</v>
      </c>
      <c r="H299" s="9">
        <v>46022</v>
      </c>
      <c r="I299" s="12">
        <v>231000</v>
      </c>
      <c r="J299" s="15" t="s">
        <v>437</v>
      </c>
      <c r="K299" s="6" t="s">
        <v>494</v>
      </c>
      <c r="L299" s="6">
        <v>3</v>
      </c>
      <c r="M299" s="6">
        <v>21</v>
      </c>
      <c r="N299" s="12">
        <v>800000</v>
      </c>
      <c r="O299" s="24">
        <f t="shared" si="35"/>
        <v>2800000</v>
      </c>
      <c r="P299" s="6" t="s">
        <v>493</v>
      </c>
      <c r="Q299">
        <f t="shared" ca="1" si="36"/>
        <v>100000</v>
      </c>
      <c r="R299" s="6" t="s">
        <v>506</v>
      </c>
      <c r="S299" s="6">
        <v>1.86</v>
      </c>
      <c r="T299" s="9">
        <f t="shared" ca="1" si="37"/>
        <v>46296</v>
      </c>
      <c r="U299" s="6">
        <f t="shared" ca="1" si="41"/>
        <v>-274</v>
      </c>
      <c r="V299" s="6" t="str">
        <f t="shared" ca="1" si="38"/>
        <v>Pre contrato</v>
      </c>
      <c r="W299" s="34">
        <f t="shared" si="39"/>
        <v>1386000</v>
      </c>
      <c r="X299" s="34">
        <f t="shared" si="40"/>
        <v>3003000</v>
      </c>
    </row>
    <row r="300" spans="1:24">
      <c r="A300" s="6" t="s">
        <v>160</v>
      </c>
      <c r="B300" t="s">
        <v>324</v>
      </c>
      <c r="C300" s="6" t="s">
        <v>324</v>
      </c>
      <c r="D300" s="6" t="s">
        <v>305</v>
      </c>
      <c r="E300">
        <f t="shared" ca="1" si="34"/>
        <v>28</v>
      </c>
      <c r="F300" s="11">
        <v>35968</v>
      </c>
      <c r="G300" s="9">
        <v>45302</v>
      </c>
      <c r="H300" s="9">
        <v>47118</v>
      </c>
      <c r="I300" s="12">
        <v>975000</v>
      </c>
      <c r="J300" s="6" t="s">
        <v>438</v>
      </c>
      <c r="K300" s="6" t="s">
        <v>499</v>
      </c>
      <c r="L300" s="6">
        <v>1</v>
      </c>
      <c r="M300" s="6">
        <v>11</v>
      </c>
      <c r="N300" s="12">
        <v>13000000</v>
      </c>
      <c r="O300" s="24">
        <f t="shared" si="35"/>
        <v>45500000</v>
      </c>
      <c r="P300" s="6" t="s">
        <v>493</v>
      </c>
      <c r="Q300">
        <f t="shared" ca="1" si="36"/>
        <v>120000</v>
      </c>
      <c r="R300" s="6" t="s">
        <v>506</v>
      </c>
      <c r="S300" s="6">
        <v>1.81</v>
      </c>
      <c r="T300" s="9">
        <f t="shared" ca="1" si="37"/>
        <v>46296</v>
      </c>
      <c r="U300" s="6">
        <f t="shared" ca="1" si="41"/>
        <v>822</v>
      </c>
      <c r="V300" s="6" t="str">
        <f t="shared" ca="1" si="38"/>
        <v>Com Contrato em vigor</v>
      </c>
      <c r="W300" s="34">
        <f t="shared" si="39"/>
        <v>5850000</v>
      </c>
      <c r="X300" s="34">
        <f t="shared" si="40"/>
        <v>12675000</v>
      </c>
    </row>
    <row r="301" spans="1:24">
      <c r="A301" s="6" t="s">
        <v>161</v>
      </c>
      <c r="B301" t="s">
        <v>324</v>
      </c>
      <c r="C301" s="6" t="s">
        <v>324</v>
      </c>
      <c r="D301" s="6" t="s">
        <v>319</v>
      </c>
      <c r="E301">
        <f t="shared" ca="1" si="34"/>
        <v>34</v>
      </c>
      <c r="F301" s="11">
        <v>33674</v>
      </c>
      <c r="G301" s="9">
        <v>45393</v>
      </c>
      <c r="H301" s="9">
        <v>45657</v>
      </c>
      <c r="I301" s="12">
        <v>670000</v>
      </c>
      <c r="J301" s="6" t="s">
        <v>439</v>
      </c>
      <c r="K301" s="6" t="s">
        <v>499</v>
      </c>
      <c r="L301" s="6">
        <v>4</v>
      </c>
      <c r="M301" s="6">
        <v>30</v>
      </c>
      <c r="N301" s="12">
        <v>3000000</v>
      </c>
      <c r="O301" s="24">
        <f t="shared" si="35"/>
        <v>10500000</v>
      </c>
      <c r="P301" s="6" t="s">
        <v>497</v>
      </c>
      <c r="Q301">
        <f t="shared" ca="1" si="36"/>
        <v>100000</v>
      </c>
      <c r="R301" s="6" t="s">
        <v>503</v>
      </c>
      <c r="S301" s="6">
        <v>1.77</v>
      </c>
      <c r="T301" s="9">
        <f t="shared" ca="1" si="37"/>
        <v>46296</v>
      </c>
      <c r="U301" s="6">
        <f t="shared" ca="1" si="41"/>
        <v>-639</v>
      </c>
      <c r="V301" s="6" t="str">
        <f t="shared" ca="1" si="38"/>
        <v>Pre contrato</v>
      </c>
      <c r="W301" s="34">
        <f t="shared" si="39"/>
        <v>4020000</v>
      </c>
      <c r="X301" s="34">
        <f t="shared" si="40"/>
        <v>8710000</v>
      </c>
    </row>
    <row r="302" spans="1:24">
      <c r="A302" s="6" t="s">
        <v>162</v>
      </c>
      <c r="B302" t="s">
        <v>324</v>
      </c>
      <c r="C302" s="6" t="s">
        <v>324</v>
      </c>
      <c r="D302" s="6" t="s">
        <v>305</v>
      </c>
      <c r="E302">
        <f t="shared" ca="1" si="34"/>
        <v>31</v>
      </c>
      <c r="F302" s="11">
        <v>34733</v>
      </c>
      <c r="G302" s="9">
        <v>44985</v>
      </c>
      <c r="H302" s="9">
        <v>46022</v>
      </c>
      <c r="I302" s="12">
        <v>568000</v>
      </c>
      <c r="J302" s="6" t="s">
        <v>429</v>
      </c>
      <c r="K302" s="6" t="s">
        <v>499</v>
      </c>
      <c r="L302" s="6">
        <v>0</v>
      </c>
      <c r="M302" s="6">
        <v>0</v>
      </c>
      <c r="N302" s="12">
        <v>2300000</v>
      </c>
      <c r="O302" s="24">
        <f t="shared" si="35"/>
        <v>8050000</v>
      </c>
      <c r="P302" s="6" t="s">
        <v>493</v>
      </c>
      <c r="Q302">
        <f t="shared" ca="1" si="36"/>
        <v>100000</v>
      </c>
      <c r="R302" s="6" t="s">
        <v>503</v>
      </c>
      <c r="S302" s="6">
        <v>1.74</v>
      </c>
      <c r="T302" s="9">
        <f t="shared" ca="1" si="37"/>
        <v>46296</v>
      </c>
      <c r="U302" s="6">
        <f t="shared" ca="1" si="41"/>
        <v>-274</v>
      </c>
      <c r="V302" s="6" t="str">
        <f t="shared" ca="1" si="38"/>
        <v>Pre contrato</v>
      </c>
      <c r="W302" s="34">
        <f t="shared" si="39"/>
        <v>3408000</v>
      </c>
      <c r="X302" s="34">
        <f t="shared" si="40"/>
        <v>7384000</v>
      </c>
    </row>
    <row r="303" spans="1:24">
      <c r="A303" s="6" t="s">
        <v>163</v>
      </c>
      <c r="B303" t="s">
        <v>324</v>
      </c>
      <c r="C303" s="6" t="s">
        <v>324</v>
      </c>
      <c r="D303" s="6" t="s">
        <v>305</v>
      </c>
      <c r="E303">
        <f t="shared" ca="1" si="34"/>
        <v>31</v>
      </c>
      <c r="F303" s="11">
        <v>34957</v>
      </c>
      <c r="G303" s="9">
        <v>44958</v>
      </c>
      <c r="H303" s="9">
        <v>47118</v>
      </c>
      <c r="I303" s="12">
        <v>810000</v>
      </c>
      <c r="J303" s="6" t="s">
        <v>352</v>
      </c>
      <c r="K303" s="6" t="s">
        <v>499</v>
      </c>
      <c r="L303" s="6">
        <v>2</v>
      </c>
      <c r="M303" s="6">
        <v>9</v>
      </c>
      <c r="N303" s="12">
        <v>12000000</v>
      </c>
      <c r="O303" s="24">
        <f t="shared" si="35"/>
        <v>42000000</v>
      </c>
      <c r="P303" s="6" t="s">
        <v>493</v>
      </c>
      <c r="Q303">
        <f t="shared" ca="1" si="36"/>
        <v>100000</v>
      </c>
      <c r="R303" s="6" t="s">
        <v>503</v>
      </c>
      <c r="S303" s="6">
        <v>1.75</v>
      </c>
      <c r="T303" s="9">
        <f t="shared" ca="1" si="37"/>
        <v>46296</v>
      </c>
      <c r="U303" s="6">
        <f t="shared" ca="1" si="41"/>
        <v>822</v>
      </c>
      <c r="V303" s="6" t="str">
        <f t="shared" ca="1" si="38"/>
        <v>Com Contrato em vigor</v>
      </c>
      <c r="W303" s="34">
        <f t="shared" si="39"/>
        <v>4860000</v>
      </c>
      <c r="X303" s="34">
        <f t="shared" si="40"/>
        <v>10530000</v>
      </c>
    </row>
    <row r="304" spans="1:24">
      <c r="A304" s="6" t="s">
        <v>164</v>
      </c>
      <c r="B304" t="s">
        <v>324</v>
      </c>
      <c r="C304" s="6" t="s">
        <v>324</v>
      </c>
      <c r="D304" s="6" t="s">
        <v>305</v>
      </c>
      <c r="E304">
        <f t="shared" ca="1" si="34"/>
        <v>37</v>
      </c>
      <c r="F304" s="11">
        <v>32608</v>
      </c>
      <c r="G304" s="9">
        <v>45297</v>
      </c>
      <c r="H304" s="9">
        <v>46022</v>
      </c>
      <c r="I304" s="12">
        <v>1250000</v>
      </c>
      <c r="J304" s="6" t="s">
        <v>440</v>
      </c>
      <c r="K304" s="6" t="s">
        <v>499</v>
      </c>
      <c r="L304" s="6">
        <v>0</v>
      </c>
      <c r="M304" s="6">
        <v>0</v>
      </c>
      <c r="N304" s="12">
        <v>3000000</v>
      </c>
      <c r="O304" s="24">
        <f t="shared" si="35"/>
        <v>10500000</v>
      </c>
      <c r="P304" s="6" t="s">
        <v>497</v>
      </c>
      <c r="Q304">
        <f t="shared" ca="1" si="36"/>
        <v>100000</v>
      </c>
      <c r="R304" s="6" t="s">
        <v>506</v>
      </c>
      <c r="S304" s="6">
        <v>1.74</v>
      </c>
      <c r="T304" s="9">
        <f t="shared" ca="1" si="37"/>
        <v>46296</v>
      </c>
      <c r="U304" s="6">
        <f t="shared" ca="1" si="41"/>
        <v>-274</v>
      </c>
      <c r="V304" s="6" t="str">
        <f t="shared" ca="1" si="38"/>
        <v>Pre contrato</v>
      </c>
      <c r="W304" s="34">
        <f t="shared" si="39"/>
        <v>7500000</v>
      </c>
      <c r="X304" s="34">
        <f t="shared" si="40"/>
        <v>16250000</v>
      </c>
    </row>
    <row r="305" spans="1:24">
      <c r="A305" s="6" t="s">
        <v>165</v>
      </c>
      <c r="B305" t="s">
        <v>324</v>
      </c>
      <c r="C305" s="6" t="s">
        <v>324</v>
      </c>
      <c r="D305" s="6" t="s">
        <v>305</v>
      </c>
      <c r="E305">
        <f t="shared" ca="1" si="34"/>
        <v>25</v>
      </c>
      <c r="F305" s="11">
        <v>36982</v>
      </c>
      <c r="G305" s="9">
        <v>44927</v>
      </c>
      <c r="H305" s="9">
        <v>47483</v>
      </c>
      <c r="I305" s="12">
        <v>522300</v>
      </c>
      <c r="J305" s="12" t="s">
        <v>428</v>
      </c>
      <c r="K305" s="6" t="s">
        <v>500</v>
      </c>
      <c r="L305" s="6">
        <v>1</v>
      </c>
      <c r="M305" s="6">
        <v>13</v>
      </c>
      <c r="N305" s="12">
        <v>8000000</v>
      </c>
      <c r="O305" s="24">
        <f t="shared" si="35"/>
        <v>28000000</v>
      </c>
      <c r="P305" s="6" t="s">
        <v>493</v>
      </c>
      <c r="Q305">
        <f t="shared" ca="1" si="36"/>
        <v>120000</v>
      </c>
      <c r="R305" s="6" t="s">
        <v>503</v>
      </c>
      <c r="S305" s="6">
        <v>1.7</v>
      </c>
      <c r="T305" s="9">
        <f t="shared" ca="1" si="37"/>
        <v>46296</v>
      </c>
      <c r="U305" s="6">
        <f t="shared" ca="1" si="41"/>
        <v>1187</v>
      </c>
      <c r="V305" s="6" t="str">
        <f t="shared" ca="1" si="38"/>
        <v>Com Contrato em vigor</v>
      </c>
      <c r="W305" s="34">
        <f t="shared" si="39"/>
        <v>3133800</v>
      </c>
      <c r="X305" s="34">
        <f t="shared" si="40"/>
        <v>6789900</v>
      </c>
    </row>
    <row r="306" spans="1:24">
      <c r="A306" s="6" t="s">
        <v>166</v>
      </c>
      <c r="B306" t="s">
        <v>324</v>
      </c>
      <c r="C306" s="6" t="s">
        <v>324</v>
      </c>
      <c r="D306" s="6" t="s">
        <v>305</v>
      </c>
      <c r="E306">
        <f t="shared" ca="1" si="34"/>
        <v>30</v>
      </c>
      <c r="F306" s="11">
        <v>35033</v>
      </c>
      <c r="G306" s="9">
        <v>45133</v>
      </c>
      <c r="H306" s="9">
        <v>46387</v>
      </c>
      <c r="I306" s="12">
        <v>439000</v>
      </c>
      <c r="J306" s="6" t="s">
        <v>441</v>
      </c>
      <c r="K306" s="6" t="s">
        <v>500</v>
      </c>
      <c r="L306" s="6">
        <v>0</v>
      </c>
      <c r="M306" s="6">
        <v>0</v>
      </c>
      <c r="N306" s="12">
        <v>6000000</v>
      </c>
      <c r="O306" s="24">
        <f t="shared" si="35"/>
        <v>21000000</v>
      </c>
      <c r="P306" s="6" t="s">
        <v>493</v>
      </c>
      <c r="Q306">
        <f t="shared" ca="1" si="36"/>
        <v>120000</v>
      </c>
      <c r="R306" s="6" t="s">
        <v>503</v>
      </c>
      <c r="S306" s="6">
        <v>1.83</v>
      </c>
      <c r="T306" s="9">
        <f t="shared" ca="1" si="37"/>
        <v>46296</v>
      </c>
      <c r="U306" s="6">
        <f t="shared" ca="1" si="41"/>
        <v>91</v>
      </c>
      <c r="V306" s="6" t="str">
        <f t="shared" ca="1" si="38"/>
        <v>Pre contrato</v>
      </c>
      <c r="W306" s="34">
        <f t="shared" si="39"/>
        <v>2634000</v>
      </c>
      <c r="X306" s="34">
        <f t="shared" si="40"/>
        <v>5707000</v>
      </c>
    </row>
    <row r="307" spans="1:24">
      <c r="A307" s="6" t="s">
        <v>167</v>
      </c>
      <c r="B307" t="s">
        <v>324</v>
      </c>
      <c r="C307" s="6" t="s">
        <v>324</v>
      </c>
      <c r="D307" s="6" t="s">
        <v>305</v>
      </c>
      <c r="E307">
        <f t="shared" ca="1" si="34"/>
        <v>31</v>
      </c>
      <c r="F307" s="13">
        <v>34746</v>
      </c>
      <c r="G307" s="9">
        <v>45017</v>
      </c>
      <c r="H307" s="9">
        <v>46022</v>
      </c>
      <c r="I307" s="12">
        <v>410000</v>
      </c>
      <c r="J307" s="6" t="s">
        <v>354</v>
      </c>
      <c r="K307" s="6" t="s">
        <v>500</v>
      </c>
      <c r="L307" s="6">
        <v>0</v>
      </c>
      <c r="M307" s="6">
        <v>0</v>
      </c>
      <c r="N307" s="12">
        <v>4000000</v>
      </c>
      <c r="O307" s="24">
        <f t="shared" si="35"/>
        <v>14000000</v>
      </c>
      <c r="P307" s="6" t="s">
        <v>497</v>
      </c>
      <c r="Q307">
        <f t="shared" ca="1" si="36"/>
        <v>100000</v>
      </c>
      <c r="R307" s="6" t="s">
        <v>503</v>
      </c>
      <c r="S307" s="6">
        <v>1.72</v>
      </c>
      <c r="T307" s="9">
        <f t="shared" ca="1" si="37"/>
        <v>46296</v>
      </c>
      <c r="U307" s="6">
        <f t="shared" ca="1" si="41"/>
        <v>-274</v>
      </c>
      <c r="V307" s="6" t="str">
        <f t="shared" ca="1" si="38"/>
        <v>Pre contrato</v>
      </c>
      <c r="W307" s="34">
        <f t="shared" si="39"/>
        <v>2460000</v>
      </c>
      <c r="X307" s="34">
        <f t="shared" si="40"/>
        <v>5330000</v>
      </c>
    </row>
    <row r="308" spans="1:24">
      <c r="A308" s="6" t="s">
        <v>168</v>
      </c>
      <c r="B308" t="s">
        <v>324</v>
      </c>
      <c r="C308" s="6" t="s">
        <v>324</v>
      </c>
      <c r="D308" s="6" t="s">
        <v>319</v>
      </c>
      <c r="E308">
        <f t="shared" ca="1" si="34"/>
        <v>23</v>
      </c>
      <c r="F308" s="11">
        <v>37818</v>
      </c>
      <c r="G308" s="9">
        <v>45499</v>
      </c>
      <c r="H308" s="9">
        <v>47299</v>
      </c>
      <c r="I308" s="12">
        <v>650000</v>
      </c>
      <c r="J308" s="6" t="s">
        <v>442</v>
      </c>
      <c r="K308" s="6" t="s">
        <v>500</v>
      </c>
      <c r="L308" s="6">
        <v>0</v>
      </c>
      <c r="M308" s="6">
        <v>0</v>
      </c>
      <c r="N308" s="12">
        <v>3500000</v>
      </c>
      <c r="O308" s="24">
        <f t="shared" si="35"/>
        <v>12250000</v>
      </c>
      <c r="P308" s="6" t="s">
        <v>493</v>
      </c>
      <c r="Q308">
        <f t="shared" ca="1" si="36"/>
        <v>160000</v>
      </c>
      <c r="R308" s="6" t="s">
        <v>506</v>
      </c>
      <c r="S308" s="6">
        <v>1.79</v>
      </c>
      <c r="T308" s="9">
        <f t="shared" ca="1" si="37"/>
        <v>46296</v>
      </c>
      <c r="U308" s="6">
        <f t="shared" ca="1" si="41"/>
        <v>1003</v>
      </c>
      <c r="V308" s="6" t="str">
        <f t="shared" ca="1" si="38"/>
        <v>Com Contrato em vigor</v>
      </c>
      <c r="W308" s="34">
        <f t="shared" si="39"/>
        <v>3900000</v>
      </c>
      <c r="X308" s="34">
        <f t="shared" si="40"/>
        <v>8450000</v>
      </c>
    </row>
    <row r="309" spans="1:24">
      <c r="A309" s="6" t="s">
        <v>169</v>
      </c>
      <c r="B309" t="s">
        <v>324</v>
      </c>
      <c r="C309" s="6" t="s">
        <v>324</v>
      </c>
      <c r="D309" s="6" t="s">
        <v>305</v>
      </c>
      <c r="E309">
        <f t="shared" ca="1" si="34"/>
        <v>31</v>
      </c>
      <c r="F309" s="11">
        <v>34831</v>
      </c>
      <c r="G309" s="9">
        <v>45016</v>
      </c>
      <c r="H309" s="9">
        <v>46752</v>
      </c>
      <c r="I309" s="12">
        <v>400000</v>
      </c>
      <c r="J309" s="6" t="s">
        <v>443</v>
      </c>
      <c r="K309" s="6" t="s">
        <v>500</v>
      </c>
      <c r="L309" s="6">
        <v>0</v>
      </c>
      <c r="M309" s="6">
        <v>0</v>
      </c>
      <c r="N309" s="12">
        <v>2500000</v>
      </c>
      <c r="O309" s="24">
        <f t="shared" si="35"/>
        <v>8750000</v>
      </c>
      <c r="P309" s="6" t="s">
        <v>493</v>
      </c>
      <c r="Q309">
        <f t="shared" ca="1" si="36"/>
        <v>100000</v>
      </c>
      <c r="R309" s="6" t="s">
        <v>503</v>
      </c>
      <c r="S309" s="6">
        <v>1.82</v>
      </c>
      <c r="T309" s="9">
        <f t="shared" ca="1" si="37"/>
        <v>46296</v>
      </c>
      <c r="U309" s="6">
        <f t="shared" ca="1" si="41"/>
        <v>456</v>
      </c>
      <c r="V309" s="6" t="str">
        <f t="shared" ca="1" si="38"/>
        <v>Com Contrato em vigor</v>
      </c>
      <c r="W309" s="34">
        <f t="shared" si="39"/>
        <v>2400000</v>
      </c>
      <c r="X309" s="34">
        <f t="shared" si="40"/>
        <v>5200000</v>
      </c>
    </row>
    <row r="310" spans="1:24">
      <c r="A310" s="6" t="s">
        <v>170</v>
      </c>
      <c r="B310" t="s">
        <v>324</v>
      </c>
      <c r="C310" s="6" t="s">
        <v>324</v>
      </c>
      <c r="D310" s="6" t="s">
        <v>305</v>
      </c>
      <c r="E310">
        <f t="shared" ca="1" si="34"/>
        <v>35</v>
      </c>
      <c r="F310" s="11">
        <v>33424</v>
      </c>
      <c r="G310" s="9">
        <v>44935</v>
      </c>
      <c r="H310" s="9">
        <v>46022</v>
      </c>
      <c r="I310" s="12">
        <v>634000</v>
      </c>
      <c r="J310" s="6" t="s">
        <v>444</v>
      </c>
      <c r="K310" s="6" t="s">
        <v>500</v>
      </c>
      <c r="L310" s="6">
        <v>0</v>
      </c>
      <c r="M310" s="6">
        <v>0</v>
      </c>
      <c r="N310" s="12">
        <v>1500000</v>
      </c>
      <c r="O310" s="24">
        <f t="shared" si="35"/>
        <v>5250000</v>
      </c>
      <c r="P310" s="6" t="s">
        <v>493</v>
      </c>
      <c r="Q310">
        <f t="shared" ca="1" si="36"/>
        <v>100000</v>
      </c>
      <c r="R310" s="6" t="s">
        <v>506</v>
      </c>
      <c r="S310" s="6">
        <v>1.82</v>
      </c>
      <c r="T310" s="9">
        <f t="shared" ca="1" si="37"/>
        <v>46296</v>
      </c>
      <c r="U310" s="6">
        <f t="shared" ca="1" si="41"/>
        <v>-274</v>
      </c>
      <c r="V310" s="6" t="str">
        <f t="shared" ca="1" si="38"/>
        <v>Pre contrato</v>
      </c>
      <c r="W310" s="34">
        <f t="shared" si="39"/>
        <v>3804000</v>
      </c>
      <c r="X310" s="34">
        <f t="shared" si="40"/>
        <v>8242000</v>
      </c>
    </row>
    <row r="311" spans="1:24">
      <c r="A311" t="s">
        <v>930</v>
      </c>
      <c r="B311" t="s">
        <v>931</v>
      </c>
      <c r="C311" t="s">
        <v>931</v>
      </c>
      <c r="D311" s="6" t="s">
        <v>305</v>
      </c>
      <c r="E311">
        <f t="shared" ca="1" si="34"/>
        <v>34</v>
      </c>
      <c r="F311" s="20">
        <v>33874</v>
      </c>
      <c r="G311" s="20">
        <v>45356</v>
      </c>
      <c r="H311" s="20">
        <v>45838</v>
      </c>
      <c r="I311" s="17">
        <v>150000</v>
      </c>
      <c r="J311" t="s">
        <v>357</v>
      </c>
      <c r="K311" s="6" t="s">
        <v>495</v>
      </c>
      <c r="L311">
        <v>0</v>
      </c>
      <c r="M311">
        <v>0</v>
      </c>
      <c r="N311" s="17">
        <v>1000000</v>
      </c>
      <c r="O311" s="24">
        <f t="shared" si="35"/>
        <v>3500000</v>
      </c>
      <c r="P311" t="s">
        <v>493</v>
      </c>
      <c r="Q311">
        <f t="shared" ca="1" si="36"/>
        <v>100000</v>
      </c>
      <c r="R311" t="s">
        <v>932</v>
      </c>
      <c r="S311">
        <v>1.94</v>
      </c>
      <c r="T311" s="20">
        <f t="shared" ca="1" si="37"/>
        <v>46296</v>
      </c>
      <c r="U311">
        <f t="shared" ref="U311:U342" ca="1" si="42">_xlfn.DAYS(H311,T311)</f>
        <v>-458</v>
      </c>
      <c r="V311" t="str">
        <f t="shared" ca="1" si="38"/>
        <v>Pre contrato</v>
      </c>
      <c r="W311" s="34">
        <f t="shared" si="39"/>
        <v>900000</v>
      </c>
      <c r="X311" s="34">
        <f t="shared" si="40"/>
        <v>1950000</v>
      </c>
    </row>
    <row r="312" spans="1:24">
      <c r="A312" t="s">
        <v>933</v>
      </c>
      <c r="B312" t="s">
        <v>931</v>
      </c>
      <c r="C312" t="s">
        <v>931</v>
      </c>
      <c r="D312" s="6" t="s">
        <v>305</v>
      </c>
      <c r="E312">
        <f t="shared" ca="1" si="34"/>
        <v>32</v>
      </c>
      <c r="F312" s="20">
        <v>34549</v>
      </c>
      <c r="G312" s="20">
        <v>45316</v>
      </c>
      <c r="H312" s="20">
        <v>46022</v>
      </c>
      <c r="I312" s="17">
        <v>75000</v>
      </c>
      <c r="J312" t="s">
        <v>723</v>
      </c>
      <c r="K312" s="6" t="s">
        <v>495</v>
      </c>
      <c r="L312">
        <v>0</v>
      </c>
      <c r="M312">
        <v>0</v>
      </c>
      <c r="N312" s="17">
        <v>500000</v>
      </c>
      <c r="O312" s="24">
        <f t="shared" si="35"/>
        <v>1750000</v>
      </c>
      <c r="P312" t="s">
        <v>493</v>
      </c>
      <c r="Q312">
        <f t="shared" ca="1" si="36"/>
        <v>100000</v>
      </c>
      <c r="R312" t="s">
        <v>506</v>
      </c>
      <c r="S312">
        <v>1.94</v>
      </c>
      <c r="T312" s="20">
        <f t="shared" ca="1" si="37"/>
        <v>46296</v>
      </c>
      <c r="U312">
        <f t="shared" ca="1" si="42"/>
        <v>-274</v>
      </c>
      <c r="V312" t="str">
        <f t="shared" ca="1" si="38"/>
        <v>Pre contrato</v>
      </c>
      <c r="W312" s="34">
        <f t="shared" si="39"/>
        <v>450000</v>
      </c>
      <c r="X312" s="34">
        <f t="shared" si="40"/>
        <v>975000</v>
      </c>
    </row>
    <row r="313" spans="1:24">
      <c r="A313" t="s">
        <v>934</v>
      </c>
      <c r="B313" t="s">
        <v>931</v>
      </c>
      <c r="C313" t="s">
        <v>931</v>
      </c>
      <c r="D313" s="6" t="s">
        <v>305</v>
      </c>
      <c r="E313">
        <f t="shared" ca="1" si="34"/>
        <v>37</v>
      </c>
      <c r="F313" s="20">
        <v>32646</v>
      </c>
      <c r="G313" s="20">
        <v>45292</v>
      </c>
      <c r="H313" s="20">
        <v>45838</v>
      </c>
      <c r="I313" s="17">
        <v>75000</v>
      </c>
      <c r="J313" t="s">
        <v>348</v>
      </c>
      <c r="K313" s="6" t="s">
        <v>495</v>
      </c>
      <c r="L313">
        <v>0</v>
      </c>
      <c r="M313">
        <v>0</v>
      </c>
      <c r="N313" s="17">
        <v>250000</v>
      </c>
      <c r="O313" s="24">
        <f t="shared" si="35"/>
        <v>875000</v>
      </c>
      <c r="P313" t="s">
        <v>493</v>
      </c>
      <c r="Q313">
        <f t="shared" ca="1" si="36"/>
        <v>100000</v>
      </c>
      <c r="R313" t="s">
        <v>932</v>
      </c>
      <c r="S313">
        <v>1.9</v>
      </c>
      <c r="T313" s="20">
        <f t="shared" ca="1" si="37"/>
        <v>46296</v>
      </c>
      <c r="U313">
        <f t="shared" ca="1" si="42"/>
        <v>-458</v>
      </c>
      <c r="V313" t="str">
        <f t="shared" ca="1" si="38"/>
        <v>Pre contrato</v>
      </c>
      <c r="W313" s="34">
        <f t="shared" si="39"/>
        <v>450000</v>
      </c>
      <c r="X313" s="34">
        <f t="shared" si="40"/>
        <v>975000</v>
      </c>
    </row>
    <row r="314" spans="1:24">
      <c r="A314" t="s">
        <v>935</v>
      </c>
      <c r="B314" t="s">
        <v>931</v>
      </c>
      <c r="C314" t="s">
        <v>931</v>
      </c>
      <c r="D314" s="6" t="s">
        <v>305</v>
      </c>
      <c r="E314">
        <f t="shared" ca="1" si="34"/>
        <v>22</v>
      </c>
      <c r="F314" s="20">
        <v>38151</v>
      </c>
      <c r="G314" s="20">
        <v>45506</v>
      </c>
      <c r="H314" s="20">
        <v>46022</v>
      </c>
      <c r="I314" s="17">
        <v>85000</v>
      </c>
      <c r="J314" t="s">
        <v>936</v>
      </c>
      <c r="K314" s="6" t="s">
        <v>495</v>
      </c>
      <c r="L314">
        <v>0</v>
      </c>
      <c r="M314">
        <v>0</v>
      </c>
      <c r="N314" s="17">
        <v>1000000</v>
      </c>
      <c r="O314" s="24">
        <f t="shared" si="35"/>
        <v>3500000</v>
      </c>
      <c r="P314" t="s">
        <v>493</v>
      </c>
      <c r="Q314">
        <f t="shared" ca="1" si="36"/>
        <v>160000</v>
      </c>
      <c r="R314" t="s">
        <v>932</v>
      </c>
      <c r="S314">
        <v>1.9</v>
      </c>
      <c r="T314" s="20">
        <f t="shared" ca="1" si="37"/>
        <v>46296</v>
      </c>
      <c r="U314">
        <f t="shared" ca="1" si="42"/>
        <v>-274</v>
      </c>
      <c r="V314" t="str">
        <f t="shared" ca="1" si="38"/>
        <v>Pre contrato</v>
      </c>
      <c r="W314" s="34">
        <f t="shared" si="39"/>
        <v>510000</v>
      </c>
      <c r="X314" s="34">
        <f t="shared" si="40"/>
        <v>1105000</v>
      </c>
    </row>
    <row r="315" spans="1:24">
      <c r="A315" t="s">
        <v>937</v>
      </c>
      <c r="B315" t="s">
        <v>931</v>
      </c>
      <c r="C315" t="s">
        <v>931</v>
      </c>
      <c r="D315" s="6" t="s">
        <v>305</v>
      </c>
      <c r="E315">
        <f t="shared" ca="1" si="34"/>
        <v>25</v>
      </c>
      <c r="F315" s="20">
        <v>36911</v>
      </c>
      <c r="G315" s="20">
        <v>45292</v>
      </c>
      <c r="H315" s="20">
        <v>46022</v>
      </c>
      <c r="I315" s="17">
        <v>70000</v>
      </c>
      <c r="J315" t="s">
        <v>348</v>
      </c>
      <c r="K315" s="6" t="s">
        <v>492</v>
      </c>
      <c r="L315">
        <v>0</v>
      </c>
      <c r="M315">
        <v>0</v>
      </c>
      <c r="N315" s="17">
        <v>750000</v>
      </c>
      <c r="O315" s="24">
        <f t="shared" si="35"/>
        <v>2625000</v>
      </c>
      <c r="P315" t="s">
        <v>493</v>
      </c>
      <c r="Q315">
        <f t="shared" ca="1" si="36"/>
        <v>120000</v>
      </c>
      <c r="R315" t="s">
        <v>932</v>
      </c>
      <c r="S315">
        <v>1.88</v>
      </c>
      <c r="T315" s="20">
        <f t="shared" ca="1" si="37"/>
        <v>46296</v>
      </c>
      <c r="U315">
        <f t="shared" ca="1" si="42"/>
        <v>-274</v>
      </c>
      <c r="V315" t="str">
        <f t="shared" ca="1" si="38"/>
        <v>Pre contrato</v>
      </c>
      <c r="W315" s="34">
        <f t="shared" si="39"/>
        <v>420000</v>
      </c>
      <c r="X315" s="34">
        <f t="shared" si="40"/>
        <v>910000</v>
      </c>
    </row>
    <row r="316" spans="1:24">
      <c r="A316" t="s">
        <v>938</v>
      </c>
      <c r="B316" t="s">
        <v>931</v>
      </c>
      <c r="C316" t="s">
        <v>931</v>
      </c>
      <c r="D316" s="6" t="s">
        <v>305</v>
      </c>
      <c r="E316">
        <f t="shared" ca="1" si="34"/>
        <v>28</v>
      </c>
      <c r="F316" s="20">
        <v>35921</v>
      </c>
      <c r="G316" s="20">
        <v>44926</v>
      </c>
      <c r="H316" s="20">
        <v>46022</v>
      </c>
      <c r="I316" s="17">
        <v>80000</v>
      </c>
      <c r="J316" t="s">
        <v>363</v>
      </c>
      <c r="K316" s="6" t="s">
        <v>492</v>
      </c>
      <c r="L316">
        <v>0</v>
      </c>
      <c r="M316">
        <v>0</v>
      </c>
      <c r="N316" s="17">
        <v>3000000</v>
      </c>
      <c r="O316" s="24">
        <f t="shared" si="35"/>
        <v>10500000</v>
      </c>
      <c r="P316" t="s">
        <v>493</v>
      </c>
      <c r="Q316">
        <f t="shared" ca="1" si="36"/>
        <v>120000</v>
      </c>
      <c r="R316" t="s">
        <v>932</v>
      </c>
      <c r="S316">
        <v>1.87</v>
      </c>
      <c r="T316" s="20">
        <f t="shared" ca="1" si="37"/>
        <v>46296</v>
      </c>
      <c r="U316">
        <f t="shared" ca="1" si="42"/>
        <v>-274</v>
      </c>
      <c r="V316" t="str">
        <f t="shared" ca="1" si="38"/>
        <v>Pre contrato</v>
      </c>
      <c r="W316" s="34">
        <f t="shared" si="39"/>
        <v>480000</v>
      </c>
      <c r="X316" s="34">
        <f t="shared" si="40"/>
        <v>1040000</v>
      </c>
    </row>
    <row r="317" spans="1:24">
      <c r="A317" t="s">
        <v>939</v>
      </c>
      <c r="B317" t="s">
        <v>931</v>
      </c>
      <c r="C317" t="s">
        <v>931</v>
      </c>
      <c r="D317" s="6" t="s">
        <v>305</v>
      </c>
      <c r="E317">
        <f t="shared" ca="1" si="34"/>
        <v>24</v>
      </c>
      <c r="F317" s="20">
        <v>37169</v>
      </c>
      <c r="G317" s="20">
        <v>45492</v>
      </c>
      <c r="H317" s="20">
        <v>46022</v>
      </c>
      <c r="I317" s="17">
        <v>75000</v>
      </c>
      <c r="J317" t="s">
        <v>940</v>
      </c>
      <c r="K317" s="6" t="s">
        <v>492</v>
      </c>
      <c r="L317">
        <v>1</v>
      </c>
      <c r="M317">
        <v>20</v>
      </c>
      <c r="N317" s="17">
        <v>500000</v>
      </c>
      <c r="O317" s="24">
        <f t="shared" si="35"/>
        <v>1750000</v>
      </c>
      <c r="P317" t="s">
        <v>493</v>
      </c>
      <c r="Q317">
        <f t="shared" ca="1" si="36"/>
        <v>160000</v>
      </c>
      <c r="R317" t="s">
        <v>932</v>
      </c>
      <c r="S317">
        <v>1.9</v>
      </c>
      <c r="T317" s="20">
        <f t="shared" ca="1" si="37"/>
        <v>46296</v>
      </c>
      <c r="U317">
        <f t="shared" ca="1" si="42"/>
        <v>-274</v>
      </c>
      <c r="V317" t="str">
        <f t="shared" ca="1" si="38"/>
        <v>Pre contrato</v>
      </c>
      <c r="W317" s="34">
        <f t="shared" si="39"/>
        <v>450000</v>
      </c>
      <c r="X317" s="34">
        <f t="shared" si="40"/>
        <v>975000</v>
      </c>
    </row>
    <row r="318" spans="1:24">
      <c r="A318" t="s">
        <v>941</v>
      </c>
      <c r="B318" t="s">
        <v>931</v>
      </c>
      <c r="C318" t="s">
        <v>931</v>
      </c>
      <c r="D318" s="6" t="s">
        <v>305</v>
      </c>
      <c r="E318">
        <f t="shared" ca="1" si="34"/>
        <v>29</v>
      </c>
      <c r="F318" s="20">
        <v>35486</v>
      </c>
      <c r="G318" s="20">
        <v>45027</v>
      </c>
      <c r="H318" s="20">
        <v>46022</v>
      </c>
      <c r="I318" s="17">
        <v>45000</v>
      </c>
      <c r="J318" t="s">
        <v>473</v>
      </c>
      <c r="K318" s="6" t="s">
        <v>492</v>
      </c>
      <c r="L318">
        <v>0</v>
      </c>
      <c r="M318">
        <v>0</v>
      </c>
      <c r="N318" s="17">
        <v>150000</v>
      </c>
      <c r="O318" s="24">
        <f t="shared" si="35"/>
        <v>525000</v>
      </c>
      <c r="P318" t="s">
        <v>493</v>
      </c>
      <c r="Q318">
        <f t="shared" ca="1" si="36"/>
        <v>120000</v>
      </c>
      <c r="R318" t="s">
        <v>932</v>
      </c>
      <c r="S318">
        <v>1.85</v>
      </c>
      <c r="T318" s="20">
        <f t="shared" ca="1" si="37"/>
        <v>46296</v>
      </c>
      <c r="U318">
        <f t="shared" ca="1" si="42"/>
        <v>-274</v>
      </c>
      <c r="V318" t="str">
        <f t="shared" ca="1" si="38"/>
        <v>Pre contrato</v>
      </c>
      <c r="W318" s="34">
        <f t="shared" si="39"/>
        <v>270000</v>
      </c>
      <c r="X318" s="34">
        <f t="shared" si="40"/>
        <v>585000</v>
      </c>
    </row>
    <row r="319" spans="1:24">
      <c r="A319" t="s">
        <v>942</v>
      </c>
      <c r="B319" t="s">
        <v>931</v>
      </c>
      <c r="C319" t="s">
        <v>931</v>
      </c>
      <c r="D319" s="6" t="s">
        <v>305</v>
      </c>
      <c r="E319">
        <f t="shared" ca="1" si="34"/>
        <v>28</v>
      </c>
      <c r="F319" s="20">
        <v>35827</v>
      </c>
      <c r="G319" s="20">
        <v>44927</v>
      </c>
      <c r="H319" s="20">
        <v>46022</v>
      </c>
      <c r="I319" s="17">
        <v>50000</v>
      </c>
      <c r="J319" t="s">
        <v>943</v>
      </c>
      <c r="K319" s="6" t="s">
        <v>492</v>
      </c>
      <c r="L319">
        <v>1</v>
      </c>
      <c r="M319">
        <v>23</v>
      </c>
      <c r="N319" s="17">
        <v>50000</v>
      </c>
      <c r="O319" s="24">
        <f t="shared" si="35"/>
        <v>175000</v>
      </c>
      <c r="P319" t="s">
        <v>493</v>
      </c>
      <c r="Q319">
        <f t="shared" ca="1" si="36"/>
        <v>120000</v>
      </c>
      <c r="R319" t="s">
        <v>932</v>
      </c>
      <c r="S319">
        <v>1.88</v>
      </c>
      <c r="T319" s="20">
        <f t="shared" ca="1" si="37"/>
        <v>46296</v>
      </c>
      <c r="U319">
        <f t="shared" ca="1" si="42"/>
        <v>-274</v>
      </c>
      <c r="V319" t="str">
        <f t="shared" ca="1" si="38"/>
        <v>Pre contrato</v>
      </c>
      <c r="W319" s="34">
        <f t="shared" si="39"/>
        <v>300000</v>
      </c>
      <c r="X319" s="34">
        <f t="shared" si="40"/>
        <v>650000</v>
      </c>
    </row>
    <row r="320" spans="1:24">
      <c r="A320" t="s">
        <v>944</v>
      </c>
      <c r="B320" t="s">
        <v>931</v>
      </c>
      <c r="C320" t="s">
        <v>931</v>
      </c>
      <c r="D320" s="6" t="s">
        <v>305</v>
      </c>
      <c r="E320">
        <f t="shared" ca="1" si="34"/>
        <v>31</v>
      </c>
      <c r="F320" s="20">
        <v>34904</v>
      </c>
      <c r="G320" s="20">
        <v>45302</v>
      </c>
      <c r="H320" s="20">
        <v>46022</v>
      </c>
      <c r="I320" s="17">
        <v>45000</v>
      </c>
      <c r="J320" t="s">
        <v>407</v>
      </c>
      <c r="K320" s="6" t="s">
        <v>492</v>
      </c>
      <c r="L320">
        <v>0</v>
      </c>
      <c r="M320">
        <v>0</v>
      </c>
      <c r="N320" s="17">
        <v>350000</v>
      </c>
      <c r="O320" s="24">
        <f t="shared" si="35"/>
        <v>1225000</v>
      </c>
      <c r="P320" t="s">
        <v>493</v>
      </c>
      <c r="Q320">
        <f t="shared" ca="1" si="36"/>
        <v>100000</v>
      </c>
      <c r="R320" t="s">
        <v>932</v>
      </c>
      <c r="S320">
        <v>1.87</v>
      </c>
      <c r="T320" s="20">
        <f t="shared" ca="1" si="37"/>
        <v>46296</v>
      </c>
      <c r="U320">
        <f t="shared" ca="1" si="42"/>
        <v>-274</v>
      </c>
      <c r="V320" t="str">
        <f t="shared" ca="1" si="38"/>
        <v>Pre contrato</v>
      </c>
      <c r="W320" s="34">
        <f t="shared" si="39"/>
        <v>270000</v>
      </c>
      <c r="X320" s="34">
        <f t="shared" si="40"/>
        <v>585000</v>
      </c>
    </row>
    <row r="321" spans="1:24">
      <c r="A321" t="s">
        <v>945</v>
      </c>
      <c r="B321" t="s">
        <v>931</v>
      </c>
      <c r="C321" t="s">
        <v>931</v>
      </c>
      <c r="D321" s="6" t="s">
        <v>305</v>
      </c>
      <c r="E321">
        <f t="shared" ca="1" si="34"/>
        <v>29</v>
      </c>
      <c r="F321" s="20">
        <v>35433</v>
      </c>
      <c r="G321" s="20">
        <v>45391</v>
      </c>
      <c r="H321" s="20">
        <v>46022</v>
      </c>
      <c r="I321" s="17">
        <v>60000</v>
      </c>
      <c r="J321" t="s">
        <v>842</v>
      </c>
      <c r="K321" s="6" t="s">
        <v>496</v>
      </c>
      <c r="L321">
        <v>0</v>
      </c>
      <c r="M321">
        <v>0</v>
      </c>
      <c r="N321" s="17">
        <v>500000</v>
      </c>
      <c r="O321" s="24">
        <f t="shared" si="35"/>
        <v>1750000</v>
      </c>
      <c r="P321" t="s">
        <v>497</v>
      </c>
      <c r="Q321">
        <f t="shared" ca="1" si="36"/>
        <v>120000</v>
      </c>
      <c r="R321" t="s">
        <v>932</v>
      </c>
      <c r="S321">
        <v>1.76</v>
      </c>
      <c r="T321" s="20">
        <f t="shared" ca="1" si="37"/>
        <v>46296</v>
      </c>
      <c r="U321">
        <f t="shared" ca="1" si="42"/>
        <v>-274</v>
      </c>
      <c r="V321" t="str">
        <f t="shared" ca="1" si="38"/>
        <v>Pre contrato</v>
      </c>
      <c r="W321" s="34">
        <f t="shared" si="39"/>
        <v>360000</v>
      </c>
      <c r="X321" s="34">
        <f t="shared" si="40"/>
        <v>780000</v>
      </c>
    </row>
    <row r="322" spans="1:24">
      <c r="A322" t="s">
        <v>946</v>
      </c>
      <c r="B322" t="s">
        <v>931</v>
      </c>
      <c r="C322" t="s">
        <v>931</v>
      </c>
      <c r="D322" s="6" t="s">
        <v>305</v>
      </c>
      <c r="E322">
        <f t="shared" ref="E322:E385" ca="1" si="43">DATEDIF(F322,TODAY(),"Y")</f>
        <v>37</v>
      </c>
      <c r="F322" s="20">
        <v>32743</v>
      </c>
      <c r="G322" s="20">
        <v>44927</v>
      </c>
      <c r="H322" s="20">
        <v>46022</v>
      </c>
      <c r="I322" s="17">
        <v>65000</v>
      </c>
      <c r="J322" t="s">
        <v>357</v>
      </c>
      <c r="K322" s="6" t="s">
        <v>496</v>
      </c>
      <c r="L322">
        <v>4</v>
      </c>
      <c r="M322">
        <v>35</v>
      </c>
      <c r="N322" s="17">
        <v>200000</v>
      </c>
      <c r="O322" s="24">
        <f t="shared" ref="O322:O385" si="44">N322*3.5</f>
        <v>700000</v>
      </c>
      <c r="P322" t="s">
        <v>497</v>
      </c>
      <c r="Q322">
        <f t="shared" ref="Q322:Q385" ca="1" si="45">IF(E322&gt;30,100000,IF(E322&gt;24,120000,IF(E322&gt;16,160000)))</f>
        <v>100000</v>
      </c>
      <c r="R322" t="s">
        <v>932</v>
      </c>
      <c r="S322">
        <v>1.76</v>
      </c>
      <c r="T322" s="20">
        <f t="shared" ref="T322:T385" ca="1" si="46">TODAY()</f>
        <v>46296</v>
      </c>
      <c r="U322">
        <f t="shared" ca="1" si="42"/>
        <v>-274</v>
      </c>
      <c r="V322" t="str">
        <f t="shared" ref="V322:V385" ca="1" si="47">IF(U322&lt;180, "Pre contrato","Com Contrato em vigor")</f>
        <v>Pre contrato</v>
      </c>
      <c r="W322" s="34">
        <f t="shared" si="39"/>
        <v>390000</v>
      </c>
      <c r="X322" s="34">
        <f t="shared" si="40"/>
        <v>845000</v>
      </c>
    </row>
    <row r="323" spans="1:24">
      <c r="A323" t="s">
        <v>947</v>
      </c>
      <c r="B323" t="s">
        <v>931</v>
      </c>
      <c r="C323" t="s">
        <v>931</v>
      </c>
      <c r="D323" s="6" t="s">
        <v>305</v>
      </c>
      <c r="E323">
        <f t="shared" ca="1" si="43"/>
        <v>28</v>
      </c>
      <c r="F323" s="20">
        <v>35863</v>
      </c>
      <c r="G323" s="20">
        <v>44927</v>
      </c>
      <c r="H323" s="20">
        <v>47118</v>
      </c>
      <c r="I323" s="17">
        <v>50000</v>
      </c>
      <c r="J323" t="s">
        <v>376</v>
      </c>
      <c r="K323" s="6" t="s">
        <v>498</v>
      </c>
      <c r="L323">
        <v>1</v>
      </c>
      <c r="M323">
        <v>10</v>
      </c>
      <c r="N323" s="17">
        <v>500000</v>
      </c>
      <c r="O323" s="24">
        <f t="shared" si="44"/>
        <v>1750000</v>
      </c>
      <c r="P323" t="s">
        <v>493</v>
      </c>
      <c r="Q323">
        <f t="shared" ca="1" si="45"/>
        <v>120000</v>
      </c>
      <c r="R323" t="s">
        <v>932</v>
      </c>
      <c r="S323">
        <v>1.81</v>
      </c>
      <c r="T323" s="20">
        <f t="shared" ca="1" si="46"/>
        <v>46296</v>
      </c>
      <c r="U323">
        <f t="shared" ca="1" si="42"/>
        <v>822</v>
      </c>
      <c r="V323" t="str">
        <f t="shared" ca="1" si="47"/>
        <v>Com Contrato em vigor</v>
      </c>
      <c r="W323" s="34">
        <f t="shared" ref="W323:W386" si="48">I323*6</f>
        <v>300000</v>
      </c>
      <c r="X323" s="34">
        <f t="shared" ref="X323:X386" si="49">I323*13</f>
        <v>650000</v>
      </c>
    </row>
    <row r="324" spans="1:24">
      <c r="A324" t="s">
        <v>948</v>
      </c>
      <c r="B324" t="s">
        <v>931</v>
      </c>
      <c r="C324" t="s">
        <v>931</v>
      </c>
      <c r="D324" s="6" t="s">
        <v>305</v>
      </c>
      <c r="E324">
        <f t="shared" ca="1" si="43"/>
        <v>25</v>
      </c>
      <c r="F324" s="20">
        <v>36840</v>
      </c>
      <c r="G324" s="20">
        <v>45292</v>
      </c>
      <c r="H324" s="20">
        <v>46022</v>
      </c>
      <c r="I324" s="17">
        <v>45000</v>
      </c>
      <c r="J324" t="s">
        <v>432</v>
      </c>
      <c r="K324" s="6" t="s">
        <v>498</v>
      </c>
      <c r="L324">
        <v>0</v>
      </c>
      <c r="M324">
        <v>0</v>
      </c>
      <c r="N324" s="17">
        <v>450000</v>
      </c>
      <c r="O324" s="24">
        <f t="shared" si="44"/>
        <v>1575000</v>
      </c>
      <c r="P324" t="s">
        <v>493</v>
      </c>
      <c r="Q324">
        <f t="shared" ca="1" si="45"/>
        <v>120000</v>
      </c>
      <c r="R324" t="s">
        <v>932</v>
      </c>
      <c r="S324">
        <v>1.71</v>
      </c>
      <c r="T324" s="20">
        <f t="shared" ca="1" si="46"/>
        <v>46296</v>
      </c>
      <c r="U324">
        <f t="shared" ca="1" si="42"/>
        <v>-274</v>
      </c>
      <c r="V324" t="str">
        <f t="shared" ca="1" si="47"/>
        <v>Pre contrato</v>
      </c>
      <c r="W324" s="34">
        <f t="shared" si="48"/>
        <v>270000</v>
      </c>
      <c r="X324" s="34">
        <f t="shared" si="49"/>
        <v>585000</v>
      </c>
    </row>
    <row r="325" spans="1:24">
      <c r="A325" t="s">
        <v>967</v>
      </c>
      <c r="B325" t="s">
        <v>931</v>
      </c>
      <c r="C325" t="s">
        <v>931</v>
      </c>
      <c r="D325" s="6" t="s">
        <v>305</v>
      </c>
      <c r="E325">
        <f t="shared" ca="1" si="43"/>
        <v>32</v>
      </c>
      <c r="F325" s="20">
        <v>34566</v>
      </c>
      <c r="G325" s="20">
        <v>45387</v>
      </c>
      <c r="H325" s="20">
        <v>46022</v>
      </c>
      <c r="I325" s="17">
        <v>40000</v>
      </c>
      <c r="J325" t="s">
        <v>348</v>
      </c>
      <c r="K325" s="6" t="s">
        <v>498</v>
      </c>
      <c r="L325">
        <v>3</v>
      </c>
      <c r="M325">
        <v>43</v>
      </c>
      <c r="N325" s="17">
        <v>500000</v>
      </c>
      <c r="O325" s="24">
        <f t="shared" si="44"/>
        <v>1750000</v>
      </c>
      <c r="P325" t="s">
        <v>493</v>
      </c>
      <c r="Q325">
        <f t="shared" ca="1" si="45"/>
        <v>100000</v>
      </c>
      <c r="R325" t="s">
        <v>932</v>
      </c>
      <c r="S325">
        <v>1.75</v>
      </c>
      <c r="T325" s="20">
        <f t="shared" ca="1" si="46"/>
        <v>46296</v>
      </c>
      <c r="U325">
        <f t="shared" ca="1" si="42"/>
        <v>-274</v>
      </c>
      <c r="V325" t="str">
        <f t="shared" ca="1" si="47"/>
        <v>Pre contrato</v>
      </c>
      <c r="W325" s="34">
        <f t="shared" si="48"/>
        <v>240000</v>
      </c>
      <c r="X325" s="34">
        <f t="shared" si="49"/>
        <v>520000</v>
      </c>
    </row>
    <row r="326" spans="1:24">
      <c r="A326" t="s">
        <v>968</v>
      </c>
      <c r="B326" t="s">
        <v>931</v>
      </c>
      <c r="C326" t="s">
        <v>931</v>
      </c>
      <c r="D326" s="6" t="s">
        <v>969</v>
      </c>
      <c r="E326">
        <f t="shared" ca="1" si="43"/>
        <v>29</v>
      </c>
      <c r="F326" s="20">
        <v>35460</v>
      </c>
      <c r="G326" s="20">
        <v>45292</v>
      </c>
      <c r="H326" s="20">
        <v>46022</v>
      </c>
      <c r="I326" s="17">
        <v>60000</v>
      </c>
      <c r="J326" t="s">
        <v>588</v>
      </c>
      <c r="K326" s="6" t="s">
        <v>494</v>
      </c>
      <c r="L326">
        <v>0</v>
      </c>
      <c r="M326">
        <v>0</v>
      </c>
      <c r="N326" s="17">
        <v>850000</v>
      </c>
      <c r="O326" s="24">
        <f t="shared" si="44"/>
        <v>2975000</v>
      </c>
      <c r="P326" t="s">
        <v>493</v>
      </c>
      <c r="Q326">
        <f t="shared" ca="1" si="45"/>
        <v>120000</v>
      </c>
      <c r="R326" t="s">
        <v>932</v>
      </c>
      <c r="S326">
        <v>1.75</v>
      </c>
      <c r="T326" s="20">
        <f t="shared" ca="1" si="46"/>
        <v>46296</v>
      </c>
      <c r="U326">
        <f t="shared" ca="1" si="42"/>
        <v>-274</v>
      </c>
      <c r="V326" t="str">
        <f t="shared" ca="1" si="47"/>
        <v>Pre contrato</v>
      </c>
      <c r="W326" s="34">
        <f t="shared" si="48"/>
        <v>360000</v>
      </c>
      <c r="X326" s="34">
        <f t="shared" si="49"/>
        <v>780000</v>
      </c>
    </row>
    <row r="327" spans="1:24">
      <c r="A327" t="s">
        <v>972</v>
      </c>
      <c r="B327" t="s">
        <v>931</v>
      </c>
      <c r="C327" t="s">
        <v>931</v>
      </c>
      <c r="D327" s="6" t="s">
        <v>305</v>
      </c>
      <c r="E327">
        <f t="shared" ca="1" si="43"/>
        <v>29</v>
      </c>
      <c r="F327" s="20">
        <v>35361</v>
      </c>
      <c r="G327" s="20">
        <v>45292</v>
      </c>
      <c r="H327" s="20">
        <v>46022</v>
      </c>
      <c r="I327" s="17">
        <v>50000</v>
      </c>
      <c r="J327" t="s">
        <v>348</v>
      </c>
      <c r="K327" s="6" t="s">
        <v>494</v>
      </c>
      <c r="L327">
        <v>0</v>
      </c>
      <c r="M327">
        <v>0</v>
      </c>
      <c r="N327" s="17">
        <v>460000</v>
      </c>
      <c r="O327" s="24">
        <f t="shared" si="44"/>
        <v>1610000</v>
      </c>
      <c r="P327" t="s">
        <v>493</v>
      </c>
      <c r="Q327">
        <f t="shared" ca="1" si="45"/>
        <v>120000</v>
      </c>
      <c r="R327" t="s">
        <v>932</v>
      </c>
      <c r="S327">
        <v>1.79</v>
      </c>
      <c r="T327" s="20">
        <f t="shared" ca="1" si="46"/>
        <v>46296</v>
      </c>
      <c r="U327">
        <f t="shared" ca="1" si="42"/>
        <v>-274</v>
      </c>
      <c r="V327" t="str">
        <f t="shared" ca="1" si="47"/>
        <v>Pre contrato</v>
      </c>
      <c r="W327" s="34">
        <f t="shared" si="48"/>
        <v>300000</v>
      </c>
      <c r="X327" s="34">
        <f t="shared" si="49"/>
        <v>650000</v>
      </c>
    </row>
    <row r="328" spans="1:24">
      <c r="A328" t="s">
        <v>973</v>
      </c>
      <c r="B328" t="s">
        <v>931</v>
      </c>
      <c r="C328" t="s">
        <v>931</v>
      </c>
      <c r="D328" s="6" t="s">
        <v>305</v>
      </c>
      <c r="E328">
        <f t="shared" ca="1" si="43"/>
        <v>30</v>
      </c>
      <c r="F328" s="20">
        <v>34982</v>
      </c>
      <c r="G328" s="20">
        <v>45292</v>
      </c>
      <c r="H328" s="20">
        <v>46022</v>
      </c>
      <c r="I328" s="17">
        <v>40000</v>
      </c>
      <c r="J328" t="s">
        <v>348</v>
      </c>
      <c r="K328" s="6" t="s">
        <v>494</v>
      </c>
      <c r="L328">
        <v>0</v>
      </c>
      <c r="M328">
        <v>0</v>
      </c>
      <c r="N328" s="17">
        <v>250000</v>
      </c>
      <c r="O328" s="24">
        <f t="shared" si="44"/>
        <v>875000</v>
      </c>
      <c r="P328" t="s">
        <v>493</v>
      </c>
      <c r="Q328">
        <f t="shared" ca="1" si="45"/>
        <v>120000</v>
      </c>
      <c r="R328" t="s">
        <v>932</v>
      </c>
      <c r="S328">
        <v>1.78</v>
      </c>
      <c r="T328" s="20">
        <f t="shared" ca="1" si="46"/>
        <v>46296</v>
      </c>
      <c r="U328">
        <f t="shared" ca="1" si="42"/>
        <v>-274</v>
      </c>
      <c r="V328" t="str">
        <f t="shared" ca="1" si="47"/>
        <v>Pre contrato</v>
      </c>
      <c r="W328" s="34">
        <f t="shared" si="48"/>
        <v>240000</v>
      </c>
      <c r="X328" s="34">
        <f t="shared" si="49"/>
        <v>520000</v>
      </c>
    </row>
    <row r="329" spans="1:24">
      <c r="A329" t="s">
        <v>974</v>
      </c>
      <c r="B329" t="s">
        <v>931</v>
      </c>
      <c r="C329" t="s">
        <v>931</v>
      </c>
      <c r="D329" s="6" t="s">
        <v>305</v>
      </c>
      <c r="E329">
        <f t="shared" ca="1" si="43"/>
        <v>23</v>
      </c>
      <c r="F329" s="20">
        <v>37546</v>
      </c>
      <c r="G329" s="20">
        <v>44946</v>
      </c>
      <c r="H329" s="20">
        <v>46022</v>
      </c>
      <c r="I329" s="17">
        <v>35000</v>
      </c>
      <c r="J329" t="s">
        <v>758</v>
      </c>
      <c r="K329" s="6" t="s">
        <v>494</v>
      </c>
      <c r="L329">
        <v>1</v>
      </c>
      <c r="M329">
        <v>24</v>
      </c>
      <c r="N329" s="17">
        <v>400000</v>
      </c>
      <c r="O329" s="24">
        <f t="shared" si="44"/>
        <v>1400000</v>
      </c>
      <c r="P329" t="s">
        <v>493</v>
      </c>
      <c r="Q329">
        <f t="shared" ca="1" si="45"/>
        <v>160000</v>
      </c>
      <c r="R329" t="s">
        <v>932</v>
      </c>
      <c r="S329">
        <v>1.82</v>
      </c>
      <c r="T329" s="20">
        <f t="shared" ca="1" si="46"/>
        <v>46296</v>
      </c>
      <c r="U329">
        <f t="shared" ca="1" si="42"/>
        <v>-274</v>
      </c>
      <c r="V329" t="str">
        <f t="shared" ca="1" si="47"/>
        <v>Pre contrato</v>
      </c>
      <c r="W329" s="34">
        <f t="shared" si="48"/>
        <v>210000</v>
      </c>
      <c r="X329" s="34">
        <f t="shared" si="49"/>
        <v>455000</v>
      </c>
    </row>
    <row r="330" spans="1:24">
      <c r="A330" t="s">
        <v>975</v>
      </c>
      <c r="B330" t="s">
        <v>931</v>
      </c>
      <c r="C330" t="s">
        <v>931</v>
      </c>
      <c r="D330" s="6" t="s">
        <v>305</v>
      </c>
      <c r="E330">
        <f t="shared" ca="1" si="43"/>
        <v>24</v>
      </c>
      <c r="F330" s="20">
        <v>37305</v>
      </c>
      <c r="G330" s="20">
        <v>45401</v>
      </c>
      <c r="H330" s="20">
        <v>45657</v>
      </c>
      <c r="I330" s="17">
        <v>20000</v>
      </c>
      <c r="J330" t="s">
        <v>976</v>
      </c>
      <c r="K330" s="6" t="s">
        <v>494</v>
      </c>
      <c r="L330">
        <v>0</v>
      </c>
      <c r="M330">
        <v>0</v>
      </c>
      <c r="N330" s="17">
        <v>150000</v>
      </c>
      <c r="O330" s="24">
        <f t="shared" si="44"/>
        <v>525000</v>
      </c>
      <c r="P330" t="s">
        <v>493</v>
      </c>
      <c r="Q330">
        <f t="shared" ca="1" si="45"/>
        <v>160000</v>
      </c>
      <c r="R330" t="s">
        <v>932</v>
      </c>
      <c r="S330">
        <v>1.8</v>
      </c>
      <c r="T330" s="20">
        <f t="shared" ca="1" si="46"/>
        <v>46296</v>
      </c>
      <c r="U330">
        <f t="shared" ca="1" si="42"/>
        <v>-639</v>
      </c>
      <c r="V330" t="str">
        <f t="shared" ca="1" si="47"/>
        <v>Pre contrato</v>
      </c>
      <c r="W330" s="34">
        <f t="shared" si="48"/>
        <v>120000</v>
      </c>
      <c r="X330" s="34">
        <f t="shared" si="49"/>
        <v>260000</v>
      </c>
    </row>
    <row r="331" spans="1:24">
      <c r="A331" t="s">
        <v>977</v>
      </c>
      <c r="B331" t="s">
        <v>931</v>
      </c>
      <c r="C331" t="s">
        <v>931</v>
      </c>
      <c r="D331" s="6" t="s">
        <v>305</v>
      </c>
      <c r="E331">
        <f t="shared" ca="1" si="43"/>
        <v>29</v>
      </c>
      <c r="F331" s="20">
        <v>35611</v>
      </c>
      <c r="G331" s="20">
        <v>45401</v>
      </c>
      <c r="H331" s="20">
        <v>46022</v>
      </c>
      <c r="I331" s="17">
        <v>25000</v>
      </c>
      <c r="J331" t="s">
        <v>940</v>
      </c>
      <c r="K331" s="6" t="s">
        <v>494</v>
      </c>
      <c r="L331">
        <v>0</v>
      </c>
      <c r="M331">
        <v>0</v>
      </c>
      <c r="N331" s="17">
        <v>200000</v>
      </c>
      <c r="O331" s="24">
        <f t="shared" si="44"/>
        <v>700000</v>
      </c>
      <c r="P331" t="s">
        <v>493</v>
      </c>
      <c r="Q331">
        <f t="shared" ca="1" si="45"/>
        <v>120000</v>
      </c>
      <c r="R331" t="s">
        <v>932</v>
      </c>
      <c r="S331">
        <v>1.81</v>
      </c>
      <c r="T331" s="20">
        <f t="shared" ca="1" si="46"/>
        <v>46296</v>
      </c>
      <c r="U331">
        <f t="shared" ca="1" si="42"/>
        <v>-274</v>
      </c>
      <c r="V331" t="str">
        <f t="shared" ca="1" si="47"/>
        <v>Pre contrato</v>
      </c>
      <c r="W331" s="34">
        <f t="shared" si="48"/>
        <v>150000</v>
      </c>
      <c r="X331" s="34">
        <f t="shared" si="49"/>
        <v>325000</v>
      </c>
    </row>
    <row r="332" spans="1:24">
      <c r="A332" t="s">
        <v>978</v>
      </c>
      <c r="B332" t="s">
        <v>931</v>
      </c>
      <c r="C332" t="s">
        <v>931</v>
      </c>
      <c r="D332" s="6" t="s">
        <v>305</v>
      </c>
      <c r="E332">
        <f t="shared" ca="1" si="43"/>
        <v>30</v>
      </c>
      <c r="F332" s="22">
        <v>35234</v>
      </c>
      <c r="G332" s="20">
        <v>45474</v>
      </c>
      <c r="H332" s="20">
        <v>46022</v>
      </c>
      <c r="I332" s="17">
        <v>40000</v>
      </c>
      <c r="J332" t="s">
        <v>431</v>
      </c>
      <c r="K332" s="6" t="s">
        <v>499</v>
      </c>
      <c r="L332">
        <v>0</v>
      </c>
      <c r="M332">
        <v>0</v>
      </c>
      <c r="N332" s="17">
        <v>1000000</v>
      </c>
      <c r="O332" s="24">
        <f t="shared" si="44"/>
        <v>3500000</v>
      </c>
      <c r="P332" t="s">
        <v>493</v>
      </c>
      <c r="Q332">
        <f t="shared" ca="1" si="45"/>
        <v>120000</v>
      </c>
      <c r="R332" t="s">
        <v>932</v>
      </c>
      <c r="S332">
        <v>1.81</v>
      </c>
      <c r="T332" s="20">
        <f t="shared" ca="1" si="46"/>
        <v>46296</v>
      </c>
      <c r="U332">
        <f t="shared" ca="1" si="42"/>
        <v>-274</v>
      </c>
      <c r="V332" t="str">
        <f t="shared" ca="1" si="47"/>
        <v>Pre contrato</v>
      </c>
      <c r="W332" s="34">
        <f t="shared" si="48"/>
        <v>240000</v>
      </c>
      <c r="X332" s="34">
        <f t="shared" si="49"/>
        <v>520000</v>
      </c>
    </row>
    <row r="333" spans="1:24">
      <c r="A333" t="s">
        <v>979</v>
      </c>
      <c r="B333" t="s">
        <v>931</v>
      </c>
      <c r="C333" t="s">
        <v>931</v>
      </c>
      <c r="D333" s="6" t="s">
        <v>305</v>
      </c>
      <c r="E333">
        <f t="shared" ca="1" si="43"/>
        <v>27</v>
      </c>
      <c r="F333" s="20">
        <v>36422</v>
      </c>
      <c r="G333" s="20">
        <v>45522</v>
      </c>
      <c r="H333" s="20">
        <v>45838</v>
      </c>
      <c r="I333" s="17">
        <v>40000</v>
      </c>
      <c r="J333" t="s">
        <v>732</v>
      </c>
      <c r="K333" s="6" t="s">
        <v>499</v>
      </c>
      <c r="L333">
        <v>0</v>
      </c>
      <c r="M333">
        <v>0</v>
      </c>
      <c r="N333" s="17">
        <v>1600000</v>
      </c>
      <c r="O333" s="24">
        <f t="shared" si="44"/>
        <v>5600000</v>
      </c>
      <c r="P333" t="s">
        <v>493</v>
      </c>
      <c r="Q333">
        <f t="shared" ca="1" si="45"/>
        <v>120000</v>
      </c>
      <c r="R333" t="s">
        <v>932</v>
      </c>
      <c r="S333">
        <v>1.8</v>
      </c>
      <c r="T333" s="20">
        <f t="shared" ca="1" si="46"/>
        <v>46296</v>
      </c>
      <c r="U333">
        <f t="shared" ca="1" si="42"/>
        <v>-458</v>
      </c>
      <c r="V333" t="str">
        <f t="shared" ca="1" si="47"/>
        <v>Pre contrato</v>
      </c>
      <c r="W333" s="34">
        <f t="shared" si="48"/>
        <v>240000</v>
      </c>
      <c r="X333" s="34">
        <f t="shared" si="49"/>
        <v>520000</v>
      </c>
    </row>
    <row r="334" spans="1:24">
      <c r="A334" t="s">
        <v>980</v>
      </c>
      <c r="B334" t="s">
        <v>931</v>
      </c>
      <c r="C334" t="s">
        <v>931</v>
      </c>
      <c r="D334" s="6" t="s">
        <v>305</v>
      </c>
      <c r="E334">
        <f t="shared" ca="1" si="43"/>
        <v>33</v>
      </c>
      <c r="F334" s="20">
        <v>34211</v>
      </c>
      <c r="G334" s="20">
        <v>44379</v>
      </c>
      <c r="H334" s="20">
        <v>46387</v>
      </c>
      <c r="I334" s="17">
        <v>40000</v>
      </c>
      <c r="J334" t="s">
        <v>433</v>
      </c>
      <c r="K334" s="6" t="s">
        <v>499</v>
      </c>
      <c r="L334">
        <v>1</v>
      </c>
      <c r="M334">
        <v>25</v>
      </c>
      <c r="N334" s="17">
        <v>1200000</v>
      </c>
      <c r="O334" s="24">
        <f t="shared" si="44"/>
        <v>4200000</v>
      </c>
      <c r="P334" t="s">
        <v>493</v>
      </c>
      <c r="Q334">
        <f t="shared" ca="1" si="45"/>
        <v>100000</v>
      </c>
      <c r="R334" t="s">
        <v>932</v>
      </c>
      <c r="S334">
        <v>1.71</v>
      </c>
      <c r="T334" s="20">
        <f t="shared" ca="1" si="46"/>
        <v>46296</v>
      </c>
      <c r="U334">
        <f t="shared" ca="1" si="42"/>
        <v>91</v>
      </c>
      <c r="V334" t="str">
        <f t="shared" ca="1" si="47"/>
        <v>Pre contrato</v>
      </c>
      <c r="W334" s="34">
        <f t="shared" si="48"/>
        <v>240000</v>
      </c>
      <c r="X334" s="34">
        <f t="shared" si="49"/>
        <v>520000</v>
      </c>
    </row>
    <row r="335" spans="1:24" ht="14.4">
      <c r="A335" t="s">
        <v>981</v>
      </c>
      <c r="B335" t="s">
        <v>931</v>
      </c>
      <c r="C335" t="s">
        <v>931</v>
      </c>
      <c r="D335" s="6" t="s">
        <v>305</v>
      </c>
      <c r="E335">
        <f t="shared" ca="1" si="43"/>
        <v>24</v>
      </c>
      <c r="F335" s="20">
        <v>37166</v>
      </c>
      <c r="G335" s="28">
        <v>45295</v>
      </c>
      <c r="H335" s="20">
        <v>46387</v>
      </c>
      <c r="I335" s="17">
        <v>55000</v>
      </c>
      <c r="J335" t="s">
        <v>982</v>
      </c>
      <c r="K335" s="6" t="s">
        <v>499</v>
      </c>
      <c r="L335">
        <v>2</v>
      </c>
      <c r="M335">
        <v>33</v>
      </c>
      <c r="N335" s="17">
        <v>1800000</v>
      </c>
      <c r="O335" s="24">
        <f t="shared" si="44"/>
        <v>6300000</v>
      </c>
      <c r="P335" t="s">
        <v>493</v>
      </c>
      <c r="Q335">
        <f t="shared" ca="1" si="45"/>
        <v>160000</v>
      </c>
      <c r="R335" t="s">
        <v>932</v>
      </c>
      <c r="S335">
        <v>1.78</v>
      </c>
      <c r="T335" s="20">
        <f t="shared" ca="1" si="46"/>
        <v>46296</v>
      </c>
      <c r="U335">
        <f t="shared" ca="1" si="42"/>
        <v>91</v>
      </c>
      <c r="V335" t="str">
        <f t="shared" ca="1" si="47"/>
        <v>Pre contrato</v>
      </c>
      <c r="W335" s="34">
        <f t="shared" si="48"/>
        <v>330000</v>
      </c>
      <c r="X335" s="34">
        <f t="shared" si="49"/>
        <v>715000</v>
      </c>
    </row>
    <row r="336" spans="1:24">
      <c r="A336" t="s">
        <v>983</v>
      </c>
      <c r="B336" t="s">
        <v>931</v>
      </c>
      <c r="C336" t="s">
        <v>931</v>
      </c>
      <c r="D336" s="6" t="s">
        <v>305</v>
      </c>
      <c r="E336">
        <f t="shared" ca="1" si="43"/>
        <v>32</v>
      </c>
      <c r="F336" s="20">
        <v>34385</v>
      </c>
      <c r="G336" s="20">
        <v>45519</v>
      </c>
      <c r="H336" s="20">
        <v>46022</v>
      </c>
      <c r="I336" s="17">
        <v>50000</v>
      </c>
      <c r="J336" t="s">
        <v>984</v>
      </c>
      <c r="K336" s="6" t="s">
        <v>499</v>
      </c>
      <c r="L336">
        <v>0</v>
      </c>
      <c r="M336">
        <v>0</v>
      </c>
      <c r="N336" s="17">
        <v>1000000</v>
      </c>
      <c r="O336" s="24">
        <f t="shared" si="44"/>
        <v>3500000</v>
      </c>
      <c r="P336" t="s">
        <v>493</v>
      </c>
      <c r="Q336">
        <f t="shared" ca="1" si="45"/>
        <v>100000</v>
      </c>
      <c r="R336" t="s">
        <v>932</v>
      </c>
      <c r="S336">
        <v>1.76</v>
      </c>
      <c r="T336" s="20">
        <f t="shared" ca="1" si="46"/>
        <v>46296</v>
      </c>
      <c r="U336">
        <f t="shared" ca="1" si="42"/>
        <v>-274</v>
      </c>
      <c r="V336" t="str">
        <f t="shared" ca="1" si="47"/>
        <v>Pre contrato</v>
      </c>
      <c r="W336" s="34">
        <f t="shared" si="48"/>
        <v>300000</v>
      </c>
      <c r="X336" s="34">
        <f t="shared" si="49"/>
        <v>650000</v>
      </c>
    </row>
    <row r="337" spans="1:24">
      <c r="A337" t="s">
        <v>985</v>
      </c>
      <c r="B337" t="s">
        <v>931</v>
      </c>
      <c r="C337" t="s">
        <v>931</v>
      </c>
      <c r="D337" s="6" t="s">
        <v>305</v>
      </c>
      <c r="E337">
        <f t="shared" ca="1" si="43"/>
        <v>29</v>
      </c>
      <c r="F337" s="20">
        <v>35531</v>
      </c>
      <c r="G337" s="20">
        <v>45401</v>
      </c>
      <c r="H337" s="20">
        <v>46022</v>
      </c>
      <c r="I337" s="17">
        <v>40000</v>
      </c>
      <c r="J337" t="s">
        <v>588</v>
      </c>
      <c r="K337" s="6" t="s">
        <v>499</v>
      </c>
      <c r="L337">
        <v>0</v>
      </c>
      <c r="M337">
        <v>0</v>
      </c>
      <c r="N337" s="17">
        <v>800000</v>
      </c>
      <c r="O337" s="24">
        <f t="shared" si="44"/>
        <v>2800000</v>
      </c>
      <c r="P337" t="s">
        <v>493</v>
      </c>
      <c r="Q337">
        <f t="shared" ca="1" si="45"/>
        <v>120000</v>
      </c>
      <c r="R337" t="s">
        <v>932</v>
      </c>
      <c r="S337">
        <v>1.8</v>
      </c>
      <c r="T337" s="20">
        <f t="shared" ca="1" si="46"/>
        <v>46296</v>
      </c>
      <c r="U337">
        <f t="shared" ca="1" si="42"/>
        <v>-274</v>
      </c>
      <c r="V337" t="str">
        <f t="shared" ca="1" si="47"/>
        <v>Pre contrato</v>
      </c>
      <c r="W337" s="34">
        <f t="shared" si="48"/>
        <v>240000</v>
      </c>
      <c r="X337" s="34">
        <f t="shared" si="49"/>
        <v>520000</v>
      </c>
    </row>
    <row r="338" spans="1:24">
      <c r="A338" t="s">
        <v>986</v>
      </c>
      <c r="B338" t="s">
        <v>931</v>
      </c>
      <c r="C338" t="s">
        <v>931</v>
      </c>
      <c r="D338" s="6" t="s">
        <v>305</v>
      </c>
      <c r="E338">
        <f t="shared" ca="1" si="43"/>
        <v>34</v>
      </c>
      <c r="F338" s="20">
        <v>33649</v>
      </c>
      <c r="G338" s="20">
        <v>45292</v>
      </c>
      <c r="H338" s="20">
        <v>46022</v>
      </c>
      <c r="I338" s="17">
        <v>45000</v>
      </c>
      <c r="J338" t="s">
        <v>842</v>
      </c>
      <c r="K338" s="6" t="s">
        <v>499</v>
      </c>
      <c r="L338">
        <v>0</v>
      </c>
      <c r="M338">
        <v>0</v>
      </c>
      <c r="N338" s="17">
        <v>600000</v>
      </c>
      <c r="O338" s="24">
        <f t="shared" si="44"/>
        <v>2100000</v>
      </c>
      <c r="P338" t="s">
        <v>493</v>
      </c>
      <c r="Q338">
        <f t="shared" ca="1" si="45"/>
        <v>100000</v>
      </c>
      <c r="R338" t="s">
        <v>932</v>
      </c>
      <c r="S338">
        <v>1.78</v>
      </c>
      <c r="T338" s="20">
        <f t="shared" ca="1" si="46"/>
        <v>46296</v>
      </c>
      <c r="U338">
        <f t="shared" ca="1" si="42"/>
        <v>-274</v>
      </c>
      <c r="V338" t="str">
        <f t="shared" ca="1" si="47"/>
        <v>Pre contrato</v>
      </c>
      <c r="W338" s="34">
        <f t="shared" si="48"/>
        <v>270000</v>
      </c>
      <c r="X338" s="34">
        <f t="shared" si="49"/>
        <v>585000</v>
      </c>
    </row>
    <row r="339" spans="1:24">
      <c r="A339" t="s">
        <v>987</v>
      </c>
      <c r="B339" t="s">
        <v>931</v>
      </c>
      <c r="C339" t="s">
        <v>931</v>
      </c>
      <c r="D339" s="6" t="s">
        <v>305</v>
      </c>
      <c r="E339">
        <f t="shared" ca="1" si="43"/>
        <v>45</v>
      </c>
      <c r="F339" s="20">
        <v>29786</v>
      </c>
      <c r="G339" s="20">
        <v>45028</v>
      </c>
      <c r="H339" s="20">
        <v>46022</v>
      </c>
      <c r="I339" s="17">
        <v>70000</v>
      </c>
      <c r="J339" t="s">
        <v>590</v>
      </c>
      <c r="K339" s="6" t="s">
        <v>499</v>
      </c>
      <c r="L339">
        <v>3</v>
      </c>
      <c r="M339">
        <v>28</v>
      </c>
      <c r="N339" s="17">
        <v>100000</v>
      </c>
      <c r="O339" s="24">
        <f t="shared" si="44"/>
        <v>350000</v>
      </c>
      <c r="P339" t="s">
        <v>497</v>
      </c>
      <c r="Q339">
        <f t="shared" ca="1" si="45"/>
        <v>100000</v>
      </c>
      <c r="R339" t="s">
        <v>505</v>
      </c>
      <c r="S339">
        <v>1.81</v>
      </c>
      <c r="T339" s="20">
        <f t="shared" ca="1" si="46"/>
        <v>46296</v>
      </c>
      <c r="U339">
        <f t="shared" ca="1" si="42"/>
        <v>-274</v>
      </c>
      <c r="V339" t="str">
        <f t="shared" ca="1" si="47"/>
        <v>Pre contrato</v>
      </c>
      <c r="W339" s="34">
        <f t="shared" si="48"/>
        <v>420000</v>
      </c>
      <c r="X339" s="34">
        <f t="shared" si="49"/>
        <v>910000</v>
      </c>
    </row>
    <row r="340" spans="1:24">
      <c r="A340" t="s">
        <v>989</v>
      </c>
      <c r="B340" t="s">
        <v>931</v>
      </c>
      <c r="C340" t="s">
        <v>931</v>
      </c>
      <c r="D340" s="6" t="s">
        <v>305</v>
      </c>
      <c r="E340">
        <f t="shared" ca="1" si="43"/>
        <v>26</v>
      </c>
      <c r="F340" s="20">
        <v>36534</v>
      </c>
      <c r="G340" s="20">
        <v>45488</v>
      </c>
      <c r="H340" s="20">
        <v>46022</v>
      </c>
      <c r="I340" s="17">
        <v>60000</v>
      </c>
      <c r="J340" t="s">
        <v>357</v>
      </c>
      <c r="K340" s="6" t="s">
        <v>500</v>
      </c>
      <c r="L340">
        <v>0</v>
      </c>
      <c r="M340">
        <v>0</v>
      </c>
      <c r="N340" s="17">
        <v>900000</v>
      </c>
      <c r="O340" s="24">
        <f t="shared" si="44"/>
        <v>3150000</v>
      </c>
      <c r="P340" t="s">
        <v>493</v>
      </c>
      <c r="Q340">
        <f t="shared" ca="1" si="45"/>
        <v>120000</v>
      </c>
      <c r="R340" t="s">
        <v>932</v>
      </c>
      <c r="S340">
        <v>1.79</v>
      </c>
      <c r="T340" s="20">
        <f t="shared" ca="1" si="46"/>
        <v>46296</v>
      </c>
      <c r="U340">
        <f t="shared" ca="1" si="42"/>
        <v>-274</v>
      </c>
      <c r="V340" t="str">
        <f t="shared" ca="1" si="47"/>
        <v>Pre contrato</v>
      </c>
      <c r="W340" s="34">
        <f t="shared" si="48"/>
        <v>360000</v>
      </c>
      <c r="X340" s="34">
        <f t="shared" si="49"/>
        <v>780000</v>
      </c>
    </row>
    <row r="341" spans="1:24">
      <c r="A341" t="s">
        <v>990</v>
      </c>
      <c r="B341" t="s">
        <v>931</v>
      </c>
      <c r="C341" t="s">
        <v>931</v>
      </c>
      <c r="D341" s="6" t="s">
        <v>305</v>
      </c>
      <c r="E341">
        <f t="shared" ca="1" si="43"/>
        <v>29</v>
      </c>
      <c r="F341" s="20">
        <v>35533</v>
      </c>
      <c r="G341" s="20">
        <v>45302</v>
      </c>
      <c r="H341" s="20">
        <v>46387</v>
      </c>
      <c r="I341" s="17">
        <v>45000</v>
      </c>
      <c r="J341" t="s">
        <v>991</v>
      </c>
      <c r="K341" s="6" t="s">
        <v>500</v>
      </c>
      <c r="L341">
        <v>1</v>
      </c>
      <c r="M341">
        <v>20</v>
      </c>
      <c r="N341" s="17">
        <v>750000</v>
      </c>
      <c r="O341" s="24">
        <f t="shared" si="44"/>
        <v>2625000</v>
      </c>
      <c r="P341" t="s">
        <v>493</v>
      </c>
      <c r="Q341">
        <f t="shared" ca="1" si="45"/>
        <v>120000</v>
      </c>
      <c r="R341" t="s">
        <v>932</v>
      </c>
      <c r="S341">
        <v>1.77</v>
      </c>
      <c r="T341" s="20">
        <f t="shared" ca="1" si="46"/>
        <v>46296</v>
      </c>
      <c r="U341">
        <f t="shared" ca="1" si="42"/>
        <v>91</v>
      </c>
      <c r="V341" t="str">
        <f t="shared" ca="1" si="47"/>
        <v>Pre contrato</v>
      </c>
      <c r="W341" s="34">
        <f t="shared" si="48"/>
        <v>270000</v>
      </c>
      <c r="X341" s="34">
        <f t="shared" si="49"/>
        <v>585000</v>
      </c>
    </row>
    <row r="342" spans="1:24">
      <c r="A342" t="s">
        <v>992</v>
      </c>
      <c r="B342" t="s">
        <v>931</v>
      </c>
      <c r="C342" t="s">
        <v>931</v>
      </c>
      <c r="D342" s="6" t="s">
        <v>305</v>
      </c>
      <c r="E342">
        <f t="shared" ca="1" si="43"/>
        <v>29</v>
      </c>
      <c r="F342" s="20">
        <v>35585</v>
      </c>
      <c r="G342" s="20">
        <v>45488</v>
      </c>
      <c r="H342" s="20">
        <v>46022</v>
      </c>
      <c r="I342" s="17">
        <v>45000</v>
      </c>
      <c r="J342" t="s">
        <v>376</v>
      </c>
      <c r="K342" s="6" t="s">
        <v>500</v>
      </c>
      <c r="L342">
        <v>0</v>
      </c>
      <c r="M342">
        <v>0</v>
      </c>
      <c r="N342" s="17">
        <v>900000</v>
      </c>
      <c r="O342" s="24">
        <f t="shared" si="44"/>
        <v>3150000</v>
      </c>
      <c r="P342" t="s">
        <v>493</v>
      </c>
      <c r="Q342">
        <f t="shared" ca="1" si="45"/>
        <v>120000</v>
      </c>
      <c r="R342" t="s">
        <v>932</v>
      </c>
      <c r="S342">
        <v>1.79</v>
      </c>
      <c r="T342" s="20">
        <f t="shared" ca="1" si="46"/>
        <v>46296</v>
      </c>
      <c r="U342">
        <f t="shared" ca="1" si="42"/>
        <v>-274</v>
      </c>
      <c r="V342" t="str">
        <f t="shared" ca="1" si="47"/>
        <v>Pre contrato</v>
      </c>
      <c r="W342" s="34">
        <f t="shared" si="48"/>
        <v>270000</v>
      </c>
      <c r="X342" s="34">
        <f t="shared" si="49"/>
        <v>585000</v>
      </c>
    </row>
    <row r="343" spans="1:24">
      <c r="A343" t="s">
        <v>996</v>
      </c>
      <c r="B343" t="s">
        <v>931</v>
      </c>
      <c r="C343" t="s">
        <v>931</v>
      </c>
      <c r="D343" s="6" t="s">
        <v>309</v>
      </c>
      <c r="E343">
        <f t="shared" ca="1" si="43"/>
        <v>30</v>
      </c>
      <c r="F343" s="20">
        <v>35316</v>
      </c>
      <c r="G343" s="20">
        <v>45302</v>
      </c>
      <c r="H343" s="20">
        <v>46022</v>
      </c>
      <c r="I343" s="17">
        <v>30000</v>
      </c>
      <c r="J343" t="s">
        <v>464</v>
      </c>
      <c r="K343" s="6" t="s">
        <v>500</v>
      </c>
      <c r="L343">
        <v>1</v>
      </c>
      <c r="M343">
        <v>20</v>
      </c>
      <c r="N343" s="17">
        <v>350000</v>
      </c>
      <c r="O343" s="24">
        <f t="shared" si="44"/>
        <v>1225000</v>
      </c>
      <c r="P343" t="s">
        <v>493</v>
      </c>
      <c r="Q343">
        <f t="shared" ca="1" si="45"/>
        <v>120000</v>
      </c>
      <c r="R343" t="s">
        <v>932</v>
      </c>
      <c r="S343">
        <v>1.86</v>
      </c>
      <c r="T343" s="20">
        <f t="shared" ca="1" si="46"/>
        <v>46296</v>
      </c>
      <c r="U343">
        <f t="shared" ref="U343:U374" ca="1" si="50">_xlfn.DAYS(H343,T343)</f>
        <v>-274</v>
      </c>
      <c r="V343" t="str">
        <f t="shared" ca="1" si="47"/>
        <v>Pre contrato</v>
      </c>
      <c r="W343" s="34">
        <f t="shared" si="48"/>
        <v>180000</v>
      </c>
      <c r="X343" s="34">
        <f t="shared" si="49"/>
        <v>390000</v>
      </c>
    </row>
    <row r="344" spans="1:24">
      <c r="A344" t="s">
        <v>540</v>
      </c>
      <c r="B344" t="s">
        <v>931</v>
      </c>
      <c r="C344" t="s">
        <v>328</v>
      </c>
      <c r="D344" s="6" t="s">
        <v>305</v>
      </c>
      <c r="E344">
        <f t="shared" ca="1" si="43"/>
        <v>24</v>
      </c>
      <c r="F344" s="20">
        <v>37181</v>
      </c>
      <c r="G344" s="20">
        <v>45519</v>
      </c>
      <c r="H344" s="20">
        <v>46568</v>
      </c>
      <c r="I344" s="17">
        <v>35000</v>
      </c>
      <c r="J344" t="s">
        <v>364</v>
      </c>
      <c r="K344" s="6" t="s">
        <v>500</v>
      </c>
      <c r="L344">
        <v>0</v>
      </c>
      <c r="M344">
        <v>0</v>
      </c>
      <c r="N344" s="17">
        <v>250000</v>
      </c>
      <c r="O344" s="24">
        <f t="shared" si="44"/>
        <v>875000</v>
      </c>
      <c r="P344" t="s">
        <v>493</v>
      </c>
      <c r="Q344">
        <f t="shared" ca="1" si="45"/>
        <v>160000</v>
      </c>
      <c r="R344" t="s">
        <v>503</v>
      </c>
      <c r="S344">
        <v>1.9</v>
      </c>
      <c r="T344" s="20">
        <f t="shared" ca="1" si="46"/>
        <v>46296</v>
      </c>
      <c r="U344">
        <f t="shared" ca="1" si="50"/>
        <v>272</v>
      </c>
      <c r="V344" t="str">
        <f t="shared" ca="1" si="47"/>
        <v>Com Contrato em vigor</v>
      </c>
      <c r="W344" s="34">
        <f t="shared" si="48"/>
        <v>210000</v>
      </c>
      <c r="X344" s="34">
        <f t="shared" si="49"/>
        <v>455000</v>
      </c>
    </row>
    <row r="345" spans="1:24">
      <c r="A345" t="s">
        <v>997</v>
      </c>
      <c r="B345" t="s">
        <v>931</v>
      </c>
      <c r="C345" t="s">
        <v>931</v>
      </c>
      <c r="D345" s="6" t="s">
        <v>305</v>
      </c>
      <c r="E345">
        <f t="shared" ca="1" si="43"/>
        <v>29</v>
      </c>
      <c r="F345" s="20">
        <v>35433</v>
      </c>
      <c r="G345" s="20">
        <v>45140</v>
      </c>
      <c r="H345" s="20">
        <v>46387</v>
      </c>
      <c r="I345" s="17">
        <v>50000</v>
      </c>
      <c r="J345" t="s">
        <v>998</v>
      </c>
      <c r="K345" s="6" t="s">
        <v>500</v>
      </c>
      <c r="L345">
        <v>1</v>
      </c>
      <c r="M345">
        <v>23</v>
      </c>
      <c r="N345" s="17">
        <v>1350000</v>
      </c>
      <c r="O345" s="24">
        <f t="shared" si="44"/>
        <v>4725000</v>
      </c>
      <c r="P345" t="s">
        <v>493</v>
      </c>
      <c r="Q345">
        <f t="shared" ca="1" si="45"/>
        <v>120000</v>
      </c>
      <c r="R345" t="s">
        <v>932</v>
      </c>
      <c r="S345">
        <v>1.74</v>
      </c>
      <c r="T345" s="20">
        <f t="shared" ca="1" si="46"/>
        <v>46296</v>
      </c>
      <c r="U345">
        <f t="shared" ca="1" si="50"/>
        <v>91</v>
      </c>
      <c r="V345" t="str">
        <f t="shared" ca="1" si="47"/>
        <v>Pre contrato</v>
      </c>
      <c r="W345" s="34">
        <f t="shared" si="48"/>
        <v>300000</v>
      </c>
      <c r="X345" s="34">
        <f t="shared" si="49"/>
        <v>650000</v>
      </c>
    </row>
    <row r="346" spans="1:24">
      <c r="A346" t="s">
        <v>999</v>
      </c>
      <c r="B346" t="s">
        <v>931</v>
      </c>
      <c r="C346" t="s">
        <v>931</v>
      </c>
      <c r="D346" s="6" t="s">
        <v>305</v>
      </c>
      <c r="E346">
        <f t="shared" ca="1" si="43"/>
        <v>37</v>
      </c>
      <c r="F346" s="20">
        <v>32664</v>
      </c>
      <c r="G346" s="20">
        <v>45310</v>
      </c>
      <c r="H346" s="20">
        <v>46022</v>
      </c>
      <c r="I346" s="17">
        <v>55000</v>
      </c>
      <c r="J346" t="s">
        <v>464</v>
      </c>
      <c r="K346" s="6" t="s">
        <v>500</v>
      </c>
      <c r="L346">
        <v>1</v>
      </c>
      <c r="M346">
        <v>20</v>
      </c>
      <c r="N346" s="17">
        <v>350000</v>
      </c>
      <c r="O346" s="24">
        <f t="shared" si="44"/>
        <v>1225000</v>
      </c>
      <c r="P346" t="s">
        <v>493</v>
      </c>
      <c r="Q346">
        <f t="shared" ca="1" si="45"/>
        <v>100000</v>
      </c>
      <c r="R346" t="s">
        <v>507</v>
      </c>
      <c r="S346">
        <v>1.78</v>
      </c>
      <c r="T346" s="20">
        <f t="shared" ca="1" si="46"/>
        <v>46296</v>
      </c>
      <c r="U346">
        <f t="shared" ca="1" si="50"/>
        <v>-274</v>
      </c>
      <c r="V346" t="str">
        <f t="shared" ca="1" si="47"/>
        <v>Pre contrato</v>
      </c>
      <c r="W346" s="34">
        <f t="shared" si="48"/>
        <v>330000</v>
      </c>
      <c r="X346" s="34">
        <f t="shared" si="49"/>
        <v>715000</v>
      </c>
    </row>
    <row r="347" spans="1:24">
      <c r="A347" t="s">
        <v>1000</v>
      </c>
      <c r="B347" t="s">
        <v>931</v>
      </c>
      <c r="C347" t="s">
        <v>931</v>
      </c>
      <c r="D347" s="6" t="s">
        <v>305</v>
      </c>
      <c r="E347">
        <f t="shared" ca="1" si="43"/>
        <v>32</v>
      </c>
      <c r="F347" s="20">
        <v>34599</v>
      </c>
      <c r="G347" s="20">
        <v>44357</v>
      </c>
      <c r="H347" s="20">
        <v>46022</v>
      </c>
      <c r="I347" s="17">
        <v>40000</v>
      </c>
      <c r="J347" t="s">
        <v>651</v>
      </c>
      <c r="K347" s="6" t="s">
        <v>500</v>
      </c>
      <c r="L347">
        <v>0</v>
      </c>
      <c r="M347">
        <v>0</v>
      </c>
      <c r="N347" s="17">
        <v>450000</v>
      </c>
      <c r="O347" s="24">
        <f t="shared" si="44"/>
        <v>1575000</v>
      </c>
      <c r="P347" t="s">
        <v>493</v>
      </c>
      <c r="Q347">
        <f t="shared" ca="1" si="45"/>
        <v>100000</v>
      </c>
      <c r="R347" t="s">
        <v>932</v>
      </c>
      <c r="S347">
        <v>1.82</v>
      </c>
      <c r="T347" s="20">
        <f t="shared" ca="1" si="46"/>
        <v>46296</v>
      </c>
      <c r="U347">
        <f t="shared" ca="1" si="50"/>
        <v>-274</v>
      </c>
      <c r="V347" t="str">
        <f t="shared" ca="1" si="47"/>
        <v>Pre contrato</v>
      </c>
      <c r="W347" s="34">
        <f t="shared" si="48"/>
        <v>240000</v>
      </c>
      <c r="X347" s="34">
        <f t="shared" si="49"/>
        <v>520000</v>
      </c>
    </row>
    <row r="348" spans="1:24">
      <c r="A348" t="s">
        <v>1001</v>
      </c>
      <c r="B348" t="s">
        <v>931</v>
      </c>
      <c r="C348" t="s">
        <v>931</v>
      </c>
      <c r="D348" s="6" t="s">
        <v>305</v>
      </c>
      <c r="E348">
        <f t="shared" ca="1" si="43"/>
        <v>26</v>
      </c>
      <c r="F348" s="20">
        <v>36546</v>
      </c>
      <c r="G348" s="20">
        <v>45302</v>
      </c>
      <c r="H348" s="20">
        <v>46022</v>
      </c>
      <c r="I348" s="17">
        <v>50000</v>
      </c>
      <c r="J348" t="s">
        <v>462</v>
      </c>
      <c r="K348" s="6" t="s">
        <v>500</v>
      </c>
      <c r="L348">
        <v>0</v>
      </c>
      <c r="M348">
        <v>0</v>
      </c>
      <c r="N348" s="17">
        <v>400000</v>
      </c>
      <c r="O348" s="24">
        <f t="shared" si="44"/>
        <v>1400000</v>
      </c>
      <c r="P348" t="s">
        <v>493</v>
      </c>
      <c r="Q348">
        <f t="shared" ca="1" si="45"/>
        <v>120000</v>
      </c>
      <c r="R348" t="s">
        <v>932</v>
      </c>
      <c r="S348">
        <v>1.78</v>
      </c>
      <c r="T348" s="20">
        <f t="shared" ca="1" si="46"/>
        <v>46296</v>
      </c>
      <c r="U348">
        <f t="shared" ca="1" si="50"/>
        <v>-274</v>
      </c>
      <c r="V348" t="str">
        <f t="shared" ca="1" si="47"/>
        <v>Pre contrato</v>
      </c>
      <c r="W348" s="34">
        <f t="shared" si="48"/>
        <v>300000</v>
      </c>
      <c r="X348" s="34">
        <f t="shared" si="49"/>
        <v>650000</v>
      </c>
    </row>
    <row r="349" spans="1:24">
      <c r="A349" t="s">
        <v>1002</v>
      </c>
      <c r="B349" t="s">
        <v>931</v>
      </c>
      <c r="C349" t="s">
        <v>931</v>
      </c>
      <c r="D349" s="6" t="s">
        <v>305</v>
      </c>
      <c r="E349">
        <f t="shared" ca="1" si="43"/>
        <v>25</v>
      </c>
      <c r="F349" s="20">
        <v>36944</v>
      </c>
      <c r="G349" s="20">
        <v>45310</v>
      </c>
      <c r="H349" s="20">
        <v>46022</v>
      </c>
      <c r="I349" s="17">
        <v>45000</v>
      </c>
      <c r="J349" t="s">
        <v>352</v>
      </c>
      <c r="K349" s="6" t="s">
        <v>500</v>
      </c>
      <c r="L349">
        <v>0</v>
      </c>
      <c r="M349">
        <v>0</v>
      </c>
      <c r="N349" s="17">
        <v>450000</v>
      </c>
      <c r="O349" s="24">
        <f t="shared" si="44"/>
        <v>1575000</v>
      </c>
      <c r="P349" t="s">
        <v>493</v>
      </c>
      <c r="Q349">
        <f t="shared" ca="1" si="45"/>
        <v>120000</v>
      </c>
      <c r="R349" t="s">
        <v>503</v>
      </c>
      <c r="S349">
        <v>1.94</v>
      </c>
      <c r="T349" s="20">
        <f t="shared" ca="1" si="46"/>
        <v>46296</v>
      </c>
      <c r="U349">
        <f t="shared" ca="1" si="50"/>
        <v>-274</v>
      </c>
      <c r="V349" t="str">
        <f t="shared" ca="1" si="47"/>
        <v>Pre contrato</v>
      </c>
      <c r="W349" s="34">
        <f t="shared" si="48"/>
        <v>270000</v>
      </c>
      <c r="X349" s="34">
        <f t="shared" si="49"/>
        <v>585000</v>
      </c>
    </row>
    <row r="350" spans="1:24">
      <c r="A350" t="s">
        <v>1003</v>
      </c>
      <c r="B350" t="s">
        <v>931</v>
      </c>
      <c r="C350" t="s">
        <v>931</v>
      </c>
      <c r="D350" s="6" t="s">
        <v>305</v>
      </c>
      <c r="E350">
        <f t="shared" ca="1" si="43"/>
        <v>27</v>
      </c>
      <c r="F350" s="20">
        <v>36273</v>
      </c>
      <c r="G350" s="20">
        <v>45302</v>
      </c>
      <c r="H350" s="20">
        <v>46022</v>
      </c>
      <c r="I350" s="17">
        <v>30000</v>
      </c>
      <c r="J350" t="s">
        <v>432</v>
      </c>
      <c r="K350" s="6" t="s">
        <v>500</v>
      </c>
      <c r="L350">
        <v>0</v>
      </c>
      <c r="M350">
        <v>0</v>
      </c>
      <c r="N350" s="17">
        <v>350000</v>
      </c>
      <c r="O350" s="24">
        <f t="shared" si="44"/>
        <v>1225000</v>
      </c>
      <c r="P350" t="s">
        <v>493</v>
      </c>
      <c r="Q350">
        <f t="shared" ca="1" si="45"/>
        <v>120000</v>
      </c>
      <c r="R350" t="s">
        <v>932</v>
      </c>
      <c r="S350">
        <v>1.82</v>
      </c>
      <c r="T350" s="20">
        <f t="shared" ca="1" si="46"/>
        <v>46296</v>
      </c>
      <c r="U350">
        <f t="shared" ca="1" si="50"/>
        <v>-274</v>
      </c>
      <c r="V350" t="str">
        <f t="shared" ca="1" si="47"/>
        <v>Pre contrato</v>
      </c>
      <c r="W350" s="34">
        <f t="shared" si="48"/>
        <v>180000</v>
      </c>
      <c r="X350" s="34">
        <f t="shared" si="49"/>
        <v>390000</v>
      </c>
    </row>
    <row r="351" spans="1:24">
      <c r="A351" t="s">
        <v>798</v>
      </c>
      <c r="B351" t="s">
        <v>799</v>
      </c>
      <c r="C351" t="s">
        <v>799</v>
      </c>
      <c r="D351" s="6" t="s">
        <v>305</v>
      </c>
      <c r="E351">
        <f t="shared" ca="1" si="43"/>
        <v>39</v>
      </c>
      <c r="F351" s="20">
        <v>31822</v>
      </c>
      <c r="G351" s="20">
        <v>45292</v>
      </c>
      <c r="H351" s="20">
        <v>46022</v>
      </c>
      <c r="I351" s="17">
        <v>200000</v>
      </c>
      <c r="J351" t="s">
        <v>758</v>
      </c>
      <c r="K351" s="6" t="s">
        <v>495</v>
      </c>
      <c r="L351">
        <v>0</v>
      </c>
      <c r="M351">
        <v>0</v>
      </c>
      <c r="N351" s="17">
        <v>500000</v>
      </c>
      <c r="O351" s="24">
        <f t="shared" si="44"/>
        <v>1750000</v>
      </c>
      <c r="P351" t="s">
        <v>497</v>
      </c>
      <c r="Q351">
        <f t="shared" ca="1" si="45"/>
        <v>100000</v>
      </c>
      <c r="R351" t="s">
        <v>503</v>
      </c>
      <c r="S351">
        <v>1.89</v>
      </c>
      <c r="T351" s="20">
        <f t="shared" ca="1" si="46"/>
        <v>46296</v>
      </c>
      <c r="U351">
        <f t="shared" ca="1" si="50"/>
        <v>-274</v>
      </c>
      <c r="V351" t="str">
        <f t="shared" ca="1" si="47"/>
        <v>Pre contrato</v>
      </c>
      <c r="W351" s="34">
        <f t="shared" si="48"/>
        <v>1200000</v>
      </c>
      <c r="X351" s="34">
        <f t="shared" si="49"/>
        <v>2600000</v>
      </c>
    </row>
    <row r="352" spans="1:24">
      <c r="A352" t="s">
        <v>800</v>
      </c>
      <c r="B352" t="s">
        <v>799</v>
      </c>
      <c r="C352" t="s">
        <v>799</v>
      </c>
      <c r="D352" s="6" t="s">
        <v>305</v>
      </c>
      <c r="E352">
        <f t="shared" ca="1" si="43"/>
        <v>27</v>
      </c>
      <c r="F352" s="20">
        <v>36107</v>
      </c>
      <c r="G352" s="20">
        <v>45292</v>
      </c>
      <c r="H352" s="20">
        <v>46022</v>
      </c>
      <c r="I352" s="17">
        <v>75000</v>
      </c>
      <c r="J352" t="s">
        <v>386</v>
      </c>
      <c r="K352" s="6" t="s">
        <v>495</v>
      </c>
      <c r="L352">
        <v>0</v>
      </c>
      <c r="M352">
        <v>0</v>
      </c>
      <c r="N352" s="17">
        <v>250000</v>
      </c>
      <c r="O352" s="24">
        <f t="shared" si="44"/>
        <v>875000</v>
      </c>
      <c r="P352" t="s">
        <v>493</v>
      </c>
      <c r="Q352">
        <f t="shared" ca="1" si="45"/>
        <v>120000</v>
      </c>
      <c r="R352" t="s">
        <v>503</v>
      </c>
      <c r="S352">
        <v>1.91</v>
      </c>
      <c r="T352" s="20">
        <f t="shared" ca="1" si="46"/>
        <v>46296</v>
      </c>
      <c r="U352">
        <f t="shared" ca="1" si="50"/>
        <v>-274</v>
      </c>
      <c r="V352" t="str">
        <f t="shared" ca="1" si="47"/>
        <v>Pre contrato</v>
      </c>
      <c r="W352" s="34">
        <f t="shared" si="48"/>
        <v>450000</v>
      </c>
      <c r="X352" s="34">
        <f t="shared" si="49"/>
        <v>975000</v>
      </c>
    </row>
    <row r="353" spans="1:24">
      <c r="A353" t="s">
        <v>801</v>
      </c>
      <c r="B353" t="s">
        <v>799</v>
      </c>
      <c r="C353" t="s">
        <v>799</v>
      </c>
      <c r="D353" s="6" t="s">
        <v>305</v>
      </c>
      <c r="E353">
        <f t="shared" ca="1" si="43"/>
        <v>28</v>
      </c>
      <c r="F353" s="20">
        <v>36015</v>
      </c>
      <c r="G353" s="20">
        <v>44013</v>
      </c>
      <c r="H353" s="20">
        <v>46387</v>
      </c>
      <c r="I353" s="17">
        <v>70000</v>
      </c>
      <c r="J353" t="s">
        <v>802</v>
      </c>
      <c r="K353" s="6" t="s">
        <v>495</v>
      </c>
      <c r="L353">
        <v>0</v>
      </c>
      <c r="M353">
        <v>0</v>
      </c>
      <c r="N353" s="17">
        <v>1000000</v>
      </c>
      <c r="O353" s="24">
        <f t="shared" si="44"/>
        <v>3500000</v>
      </c>
      <c r="P353" t="s">
        <v>493</v>
      </c>
      <c r="Q353">
        <f t="shared" ca="1" si="45"/>
        <v>120000</v>
      </c>
      <c r="R353" t="s">
        <v>503</v>
      </c>
      <c r="S353">
        <v>1.89</v>
      </c>
      <c r="T353" s="20">
        <f t="shared" ca="1" si="46"/>
        <v>46296</v>
      </c>
      <c r="U353">
        <f t="shared" ca="1" si="50"/>
        <v>91</v>
      </c>
      <c r="V353" t="str">
        <f t="shared" ca="1" si="47"/>
        <v>Pre contrato</v>
      </c>
      <c r="W353" s="34">
        <f t="shared" si="48"/>
        <v>420000</v>
      </c>
      <c r="X353" s="34">
        <f t="shared" si="49"/>
        <v>910000</v>
      </c>
    </row>
    <row r="354" spans="1:24">
      <c r="A354" t="s">
        <v>803</v>
      </c>
      <c r="B354" t="s">
        <v>799</v>
      </c>
      <c r="C354" t="s">
        <v>799</v>
      </c>
      <c r="D354" s="6" t="s">
        <v>305</v>
      </c>
      <c r="E354">
        <f t="shared" ca="1" si="43"/>
        <v>27</v>
      </c>
      <c r="F354" s="20">
        <v>36364</v>
      </c>
      <c r="G354" s="20">
        <v>45474</v>
      </c>
      <c r="H354" s="20">
        <v>47118</v>
      </c>
      <c r="I354" s="17">
        <v>250000</v>
      </c>
      <c r="J354" t="s">
        <v>445</v>
      </c>
      <c r="K354" s="6" t="s">
        <v>492</v>
      </c>
      <c r="L354">
        <v>2</v>
      </c>
      <c r="M354">
        <v>36</v>
      </c>
      <c r="N354" s="17">
        <v>2500000</v>
      </c>
      <c r="O354" s="24">
        <f t="shared" si="44"/>
        <v>8750000</v>
      </c>
      <c r="P354" t="s">
        <v>493</v>
      </c>
      <c r="Q354">
        <f t="shared" ca="1" si="45"/>
        <v>120000</v>
      </c>
      <c r="R354" t="s">
        <v>503</v>
      </c>
      <c r="S354">
        <v>1.86</v>
      </c>
      <c r="T354" s="20">
        <f t="shared" ca="1" si="46"/>
        <v>46296</v>
      </c>
      <c r="U354">
        <f t="shared" ca="1" si="50"/>
        <v>822</v>
      </c>
      <c r="V354" t="str">
        <f t="shared" ca="1" si="47"/>
        <v>Com Contrato em vigor</v>
      </c>
      <c r="W354" s="34">
        <f t="shared" si="48"/>
        <v>1500000</v>
      </c>
      <c r="X354" s="34">
        <f t="shared" si="49"/>
        <v>3250000</v>
      </c>
    </row>
    <row r="355" spans="1:24">
      <c r="A355" t="s">
        <v>804</v>
      </c>
      <c r="B355" t="s">
        <v>799</v>
      </c>
      <c r="C355" t="s">
        <v>799</v>
      </c>
      <c r="D355" s="6" t="s">
        <v>305</v>
      </c>
      <c r="E355">
        <f t="shared" ca="1" si="43"/>
        <v>34</v>
      </c>
      <c r="F355" s="20">
        <v>33772</v>
      </c>
      <c r="G355" s="20">
        <v>45499</v>
      </c>
      <c r="H355" s="20">
        <v>46387</v>
      </c>
      <c r="I355" s="17">
        <v>80000</v>
      </c>
      <c r="J355" t="s">
        <v>348</v>
      </c>
      <c r="K355" s="6" t="s">
        <v>492</v>
      </c>
      <c r="L355">
        <v>1</v>
      </c>
      <c r="M355">
        <v>17</v>
      </c>
      <c r="N355" s="17">
        <v>500000</v>
      </c>
      <c r="O355" s="24">
        <f t="shared" si="44"/>
        <v>1750000</v>
      </c>
      <c r="P355" t="s">
        <v>493</v>
      </c>
      <c r="Q355">
        <f t="shared" ca="1" si="45"/>
        <v>100000</v>
      </c>
      <c r="R355" t="s">
        <v>503</v>
      </c>
      <c r="S355">
        <v>1.92</v>
      </c>
      <c r="T355" s="20">
        <f t="shared" ca="1" si="46"/>
        <v>46296</v>
      </c>
      <c r="U355">
        <f t="shared" ca="1" si="50"/>
        <v>91</v>
      </c>
      <c r="V355" t="str">
        <f t="shared" ca="1" si="47"/>
        <v>Pre contrato</v>
      </c>
      <c r="W355" s="34">
        <f t="shared" si="48"/>
        <v>480000</v>
      </c>
      <c r="X355" s="34">
        <f t="shared" si="49"/>
        <v>1040000</v>
      </c>
    </row>
    <row r="356" spans="1:24">
      <c r="A356" t="s">
        <v>805</v>
      </c>
      <c r="B356" t="s">
        <v>799</v>
      </c>
      <c r="C356" t="s">
        <v>799</v>
      </c>
      <c r="D356" s="6" t="s">
        <v>305</v>
      </c>
      <c r="E356">
        <f t="shared" ca="1" si="43"/>
        <v>33</v>
      </c>
      <c r="F356" s="20">
        <v>34239</v>
      </c>
      <c r="G356" s="20">
        <v>44927</v>
      </c>
      <c r="H356" s="20">
        <v>46022</v>
      </c>
      <c r="I356" s="17">
        <v>80000</v>
      </c>
      <c r="J356" t="s">
        <v>806</v>
      </c>
      <c r="K356" s="6" t="s">
        <v>492</v>
      </c>
      <c r="L356">
        <v>0</v>
      </c>
      <c r="M356">
        <v>0</v>
      </c>
      <c r="N356" s="17">
        <v>500000</v>
      </c>
      <c r="O356" s="24">
        <f t="shared" si="44"/>
        <v>1750000</v>
      </c>
      <c r="P356" t="s">
        <v>493</v>
      </c>
      <c r="Q356">
        <f t="shared" ca="1" si="45"/>
        <v>100000</v>
      </c>
      <c r="R356" t="s">
        <v>503</v>
      </c>
      <c r="S356">
        <v>1.89</v>
      </c>
      <c r="T356" s="20">
        <f t="shared" ca="1" si="46"/>
        <v>46296</v>
      </c>
      <c r="U356">
        <f t="shared" ca="1" si="50"/>
        <v>-274</v>
      </c>
      <c r="V356" t="str">
        <f t="shared" ca="1" si="47"/>
        <v>Pre contrato</v>
      </c>
      <c r="W356" s="34">
        <f t="shared" si="48"/>
        <v>480000</v>
      </c>
      <c r="X356" s="34">
        <f t="shared" si="49"/>
        <v>1040000</v>
      </c>
    </row>
    <row r="357" spans="1:24">
      <c r="A357" t="s">
        <v>807</v>
      </c>
      <c r="B357" t="s">
        <v>799</v>
      </c>
      <c r="C357" t="s">
        <v>799</v>
      </c>
      <c r="D357" s="6" t="s">
        <v>305</v>
      </c>
      <c r="E357">
        <f t="shared" ca="1" si="43"/>
        <v>35</v>
      </c>
      <c r="F357" s="20">
        <v>33392</v>
      </c>
      <c r="G357" s="20">
        <v>45393</v>
      </c>
      <c r="H357" s="20">
        <v>46022</v>
      </c>
      <c r="I357" s="17">
        <v>250000</v>
      </c>
      <c r="J357" t="s">
        <v>395</v>
      </c>
      <c r="K357" s="6" t="s">
        <v>492</v>
      </c>
      <c r="L357">
        <v>1</v>
      </c>
      <c r="M357">
        <v>32</v>
      </c>
      <c r="N357" s="17">
        <v>250000</v>
      </c>
      <c r="O357" s="24">
        <f t="shared" si="44"/>
        <v>875000</v>
      </c>
      <c r="P357" t="s">
        <v>493</v>
      </c>
      <c r="Q357">
        <f t="shared" ca="1" si="45"/>
        <v>100000</v>
      </c>
      <c r="R357" t="s">
        <v>506</v>
      </c>
      <c r="S357">
        <v>1.87</v>
      </c>
      <c r="T357" s="20">
        <f t="shared" ca="1" si="46"/>
        <v>46296</v>
      </c>
      <c r="U357">
        <f t="shared" ca="1" si="50"/>
        <v>-274</v>
      </c>
      <c r="V357" t="str">
        <f t="shared" ca="1" si="47"/>
        <v>Pre contrato</v>
      </c>
      <c r="W357" s="34">
        <f t="shared" si="48"/>
        <v>1500000</v>
      </c>
      <c r="X357" s="34">
        <f t="shared" si="49"/>
        <v>3250000</v>
      </c>
    </row>
    <row r="358" spans="1:24">
      <c r="A358" t="s">
        <v>808</v>
      </c>
      <c r="B358" t="s">
        <v>799</v>
      </c>
      <c r="C358" t="s">
        <v>799</v>
      </c>
      <c r="D358" s="6" t="s">
        <v>318</v>
      </c>
      <c r="E358">
        <f t="shared" ca="1" si="43"/>
        <v>40</v>
      </c>
      <c r="F358" s="20">
        <v>31685</v>
      </c>
      <c r="G358" s="20">
        <v>45474</v>
      </c>
      <c r="H358" s="20">
        <v>46022</v>
      </c>
      <c r="I358" s="17">
        <v>45000</v>
      </c>
      <c r="J358" t="s">
        <v>510</v>
      </c>
      <c r="K358" s="6" t="s">
        <v>492</v>
      </c>
      <c r="L358">
        <v>0</v>
      </c>
      <c r="M358">
        <v>0</v>
      </c>
      <c r="N358" s="17">
        <v>50000</v>
      </c>
      <c r="O358" s="24">
        <f t="shared" si="44"/>
        <v>175000</v>
      </c>
      <c r="P358" t="s">
        <v>493</v>
      </c>
      <c r="Q358">
        <f t="shared" ca="1" si="45"/>
        <v>100000</v>
      </c>
      <c r="R358" t="s">
        <v>503</v>
      </c>
      <c r="S358">
        <v>1.87</v>
      </c>
      <c r="T358" s="20">
        <f t="shared" ca="1" si="46"/>
        <v>46296</v>
      </c>
      <c r="U358">
        <f t="shared" ca="1" si="50"/>
        <v>-274</v>
      </c>
      <c r="V358" t="str">
        <f t="shared" ca="1" si="47"/>
        <v>Pre contrato</v>
      </c>
      <c r="W358" s="34">
        <f t="shared" si="48"/>
        <v>270000</v>
      </c>
      <c r="X358" s="34">
        <f t="shared" si="49"/>
        <v>585000</v>
      </c>
    </row>
    <row r="359" spans="1:24">
      <c r="A359" t="s">
        <v>809</v>
      </c>
      <c r="B359" t="s">
        <v>799</v>
      </c>
      <c r="C359" t="s">
        <v>799</v>
      </c>
      <c r="D359" s="6" t="s">
        <v>305</v>
      </c>
      <c r="E359">
        <f t="shared" ca="1" si="43"/>
        <v>26</v>
      </c>
      <c r="F359" s="20">
        <v>36693</v>
      </c>
      <c r="G359" s="20">
        <v>45499</v>
      </c>
      <c r="H359" s="20">
        <v>46022</v>
      </c>
      <c r="I359" s="17">
        <v>120000</v>
      </c>
      <c r="J359" t="s">
        <v>348</v>
      </c>
      <c r="K359" s="6" t="s">
        <v>492</v>
      </c>
      <c r="L359">
        <v>0</v>
      </c>
      <c r="M359">
        <v>0</v>
      </c>
      <c r="N359" s="17">
        <v>250000</v>
      </c>
      <c r="O359" s="24">
        <f t="shared" si="44"/>
        <v>875000</v>
      </c>
      <c r="P359" t="s">
        <v>493</v>
      </c>
      <c r="Q359">
        <f t="shared" ca="1" si="45"/>
        <v>120000</v>
      </c>
      <c r="R359" t="s">
        <v>503</v>
      </c>
      <c r="S359">
        <v>1.85</v>
      </c>
      <c r="T359" s="20">
        <f t="shared" ca="1" si="46"/>
        <v>46296</v>
      </c>
      <c r="U359">
        <f t="shared" ca="1" si="50"/>
        <v>-274</v>
      </c>
      <c r="V359" t="str">
        <f t="shared" ca="1" si="47"/>
        <v>Pre contrato</v>
      </c>
      <c r="W359" s="34">
        <f t="shared" si="48"/>
        <v>720000</v>
      </c>
      <c r="X359" s="34">
        <f t="shared" si="49"/>
        <v>1560000</v>
      </c>
    </row>
    <row r="360" spans="1:24">
      <c r="A360" t="s">
        <v>810</v>
      </c>
      <c r="B360" t="s">
        <v>799</v>
      </c>
      <c r="C360" t="s">
        <v>799</v>
      </c>
      <c r="D360" s="6" t="s">
        <v>305</v>
      </c>
      <c r="E360">
        <f t="shared" ca="1" si="43"/>
        <v>26</v>
      </c>
      <c r="F360" s="20">
        <v>36701</v>
      </c>
      <c r="G360" s="20">
        <v>45297</v>
      </c>
      <c r="H360" s="20">
        <v>46022</v>
      </c>
      <c r="I360" s="17">
        <v>300000</v>
      </c>
      <c r="J360" t="s">
        <v>394</v>
      </c>
      <c r="K360" s="6" t="s">
        <v>496</v>
      </c>
      <c r="L360">
        <v>0</v>
      </c>
      <c r="M360">
        <v>0</v>
      </c>
      <c r="N360" s="17">
        <v>3600000</v>
      </c>
      <c r="O360" s="24">
        <f t="shared" si="44"/>
        <v>12600000</v>
      </c>
      <c r="P360" t="s">
        <v>497</v>
      </c>
      <c r="Q360">
        <f t="shared" ca="1" si="45"/>
        <v>120000</v>
      </c>
      <c r="R360" t="s">
        <v>506</v>
      </c>
      <c r="S360">
        <v>1.71</v>
      </c>
      <c r="T360" s="20">
        <f t="shared" ca="1" si="46"/>
        <v>46296</v>
      </c>
      <c r="U360">
        <f t="shared" ca="1" si="50"/>
        <v>-274</v>
      </c>
      <c r="V360" t="str">
        <f t="shared" ca="1" si="47"/>
        <v>Pre contrato</v>
      </c>
      <c r="W360" s="34">
        <f t="shared" si="48"/>
        <v>1800000</v>
      </c>
      <c r="X360" s="34">
        <f t="shared" si="49"/>
        <v>3900000</v>
      </c>
    </row>
    <row r="361" spans="1:24">
      <c r="A361" t="s">
        <v>811</v>
      </c>
      <c r="B361" t="s">
        <v>799</v>
      </c>
      <c r="C361" t="s">
        <v>799</v>
      </c>
      <c r="D361" s="6" t="s">
        <v>305</v>
      </c>
      <c r="E361">
        <f t="shared" ca="1" si="43"/>
        <v>27</v>
      </c>
      <c r="F361" s="20">
        <v>36284</v>
      </c>
      <c r="G361" s="20">
        <v>45292</v>
      </c>
      <c r="H361" s="27">
        <v>46387</v>
      </c>
      <c r="I361" s="17">
        <v>80000</v>
      </c>
      <c r="J361" t="s">
        <v>812</v>
      </c>
      <c r="K361" s="6" t="s">
        <v>496</v>
      </c>
      <c r="L361">
        <v>0</v>
      </c>
      <c r="M361">
        <v>0</v>
      </c>
      <c r="N361" s="17">
        <v>450000</v>
      </c>
      <c r="O361" s="24">
        <f t="shared" si="44"/>
        <v>1575000</v>
      </c>
      <c r="P361" t="s">
        <v>497</v>
      </c>
      <c r="Q361">
        <f t="shared" ca="1" si="45"/>
        <v>120000</v>
      </c>
      <c r="R361" t="s">
        <v>503</v>
      </c>
      <c r="S361">
        <v>1.76</v>
      </c>
      <c r="T361" s="20">
        <f t="shared" ca="1" si="46"/>
        <v>46296</v>
      </c>
      <c r="U361">
        <f t="shared" ca="1" si="50"/>
        <v>91</v>
      </c>
      <c r="V361" t="str">
        <f t="shared" ca="1" si="47"/>
        <v>Pre contrato</v>
      </c>
      <c r="W361" s="34">
        <f t="shared" si="48"/>
        <v>480000</v>
      </c>
      <c r="X361" s="34">
        <f t="shared" si="49"/>
        <v>1040000</v>
      </c>
    </row>
    <row r="362" spans="1:24">
      <c r="A362" t="s">
        <v>813</v>
      </c>
      <c r="B362" t="s">
        <v>799</v>
      </c>
      <c r="C362" t="s">
        <v>799</v>
      </c>
      <c r="D362" s="6" t="s">
        <v>305</v>
      </c>
      <c r="E362">
        <f t="shared" ca="1" si="43"/>
        <v>32</v>
      </c>
      <c r="F362" s="20">
        <v>34520</v>
      </c>
      <c r="G362" s="20">
        <v>45297</v>
      </c>
      <c r="H362" s="20">
        <v>46022</v>
      </c>
      <c r="I362" s="17">
        <v>50000</v>
      </c>
      <c r="J362" t="s">
        <v>465</v>
      </c>
      <c r="K362" s="6" t="s">
        <v>496</v>
      </c>
      <c r="L362">
        <v>0</v>
      </c>
      <c r="M362">
        <v>0</v>
      </c>
      <c r="N362" s="17">
        <v>250000</v>
      </c>
      <c r="O362" s="24">
        <f t="shared" si="44"/>
        <v>875000</v>
      </c>
      <c r="P362" t="s">
        <v>497</v>
      </c>
      <c r="Q362">
        <f t="shared" ca="1" si="45"/>
        <v>100000</v>
      </c>
      <c r="R362" t="s">
        <v>503</v>
      </c>
      <c r="S362">
        <v>1.81</v>
      </c>
      <c r="T362" s="20">
        <f t="shared" ca="1" si="46"/>
        <v>46296</v>
      </c>
      <c r="U362">
        <f t="shared" ca="1" si="50"/>
        <v>-274</v>
      </c>
      <c r="V362" t="str">
        <f t="shared" ca="1" si="47"/>
        <v>Pre contrato</v>
      </c>
      <c r="W362" s="34">
        <f t="shared" si="48"/>
        <v>300000</v>
      </c>
      <c r="X362" s="34">
        <f t="shared" si="49"/>
        <v>650000</v>
      </c>
    </row>
    <row r="363" spans="1:24">
      <c r="A363" t="s">
        <v>814</v>
      </c>
      <c r="B363" t="s">
        <v>799</v>
      </c>
      <c r="C363" t="s">
        <v>799</v>
      </c>
      <c r="D363" s="6" t="s">
        <v>305</v>
      </c>
      <c r="E363">
        <f t="shared" ca="1" si="43"/>
        <v>32</v>
      </c>
      <c r="F363" s="20">
        <v>34470</v>
      </c>
      <c r="G363" s="20">
        <v>45297</v>
      </c>
      <c r="H363" s="20">
        <v>46022</v>
      </c>
      <c r="I363" s="17">
        <v>350000</v>
      </c>
      <c r="J363" t="s">
        <v>588</v>
      </c>
      <c r="K363" s="6" t="s">
        <v>498</v>
      </c>
      <c r="L363">
        <v>1</v>
      </c>
      <c r="M363">
        <v>21</v>
      </c>
      <c r="N363" s="17">
        <v>650000</v>
      </c>
      <c r="O363" s="24">
        <f t="shared" si="44"/>
        <v>2275000</v>
      </c>
      <c r="P363" t="s">
        <v>493</v>
      </c>
      <c r="Q363">
        <f t="shared" ca="1" si="45"/>
        <v>100000</v>
      </c>
      <c r="R363" t="s">
        <v>503</v>
      </c>
      <c r="S363">
        <v>1.7</v>
      </c>
      <c r="T363" s="20">
        <f t="shared" ca="1" si="46"/>
        <v>46296</v>
      </c>
      <c r="U363">
        <f t="shared" ca="1" si="50"/>
        <v>-274</v>
      </c>
      <c r="V363" t="str">
        <f t="shared" ca="1" si="47"/>
        <v>Pre contrato</v>
      </c>
      <c r="W363" s="34">
        <f t="shared" si="48"/>
        <v>2100000</v>
      </c>
      <c r="X363" s="34">
        <f t="shared" si="49"/>
        <v>4550000</v>
      </c>
    </row>
    <row r="364" spans="1:24">
      <c r="A364" t="s">
        <v>815</v>
      </c>
      <c r="B364" t="s">
        <v>799</v>
      </c>
      <c r="C364" t="s">
        <v>799</v>
      </c>
      <c r="D364" s="6" t="s">
        <v>312</v>
      </c>
      <c r="E364">
        <f t="shared" ca="1" si="43"/>
        <v>35</v>
      </c>
      <c r="F364" s="20">
        <v>33499</v>
      </c>
      <c r="G364" s="20">
        <v>45302</v>
      </c>
      <c r="H364" s="20">
        <v>46022</v>
      </c>
      <c r="I364" s="17">
        <v>100000</v>
      </c>
      <c r="J364" t="s">
        <v>419</v>
      </c>
      <c r="K364" s="6" t="s">
        <v>498</v>
      </c>
      <c r="L364">
        <v>0</v>
      </c>
      <c r="M364">
        <v>0</v>
      </c>
      <c r="N364" s="17">
        <v>450000</v>
      </c>
      <c r="O364" s="24">
        <f t="shared" si="44"/>
        <v>1575000</v>
      </c>
      <c r="P364" t="s">
        <v>493</v>
      </c>
      <c r="Q364">
        <f t="shared" ca="1" si="45"/>
        <v>100000</v>
      </c>
      <c r="R364" t="s">
        <v>503</v>
      </c>
      <c r="S364">
        <v>1.8</v>
      </c>
      <c r="T364" s="20">
        <f t="shared" ca="1" si="46"/>
        <v>46296</v>
      </c>
      <c r="U364">
        <f t="shared" ca="1" si="50"/>
        <v>-274</v>
      </c>
      <c r="V364" t="str">
        <f t="shared" ca="1" si="47"/>
        <v>Pre contrato</v>
      </c>
      <c r="W364" s="34">
        <f t="shared" si="48"/>
        <v>600000</v>
      </c>
      <c r="X364" s="34">
        <f t="shared" si="49"/>
        <v>1300000</v>
      </c>
    </row>
    <row r="365" spans="1:24">
      <c r="A365" t="s">
        <v>816</v>
      </c>
      <c r="B365" t="s">
        <v>799</v>
      </c>
      <c r="C365" t="s">
        <v>799</v>
      </c>
      <c r="D365" s="6" t="s">
        <v>305</v>
      </c>
      <c r="E365">
        <f t="shared" ca="1" si="43"/>
        <v>29</v>
      </c>
      <c r="F365" s="20">
        <v>35446</v>
      </c>
      <c r="G365" s="20">
        <v>45302</v>
      </c>
      <c r="H365" s="20">
        <v>46022</v>
      </c>
      <c r="I365" s="17">
        <v>75000</v>
      </c>
      <c r="J365" t="s">
        <v>348</v>
      </c>
      <c r="K365" s="6" t="s">
        <v>498</v>
      </c>
      <c r="L365">
        <v>0</v>
      </c>
      <c r="M365">
        <v>0</v>
      </c>
      <c r="N365" s="17">
        <v>400000</v>
      </c>
      <c r="O365" s="24">
        <f t="shared" si="44"/>
        <v>1400000</v>
      </c>
      <c r="P365" t="s">
        <v>493</v>
      </c>
      <c r="Q365">
        <f t="shared" ca="1" si="45"/>
        <v>120000</v>
      </c>
      <c r="R365" t="s">
        <v>503</v>
      </c>
      <c r="S365">
        <v>1.82</v>
      </c>
      <c r="T365" s="20">
        <f t="shared" ca="1" si="46"/>
        <v>46296</v>
      </c>
      <c r="U365">
        <f t="shared" ca="1" si="50"/>
        <v>-274</v>
      </c>
      <c r="V365" t="str">
        <f t="shared" ca="1" si="47"/>
        <v>Pre contrato</v>
      </c>
      <c r="W365" s="34">
        <f t="shared" si="48"/>
        <v>450000</v>
      </c>
      <c r="X365" s="34">
        <f t="shared" si="49"/>
        <v>975000</v>
      </c>
    </row>
    <row r="366" spans="1:24">
      <c r="A366" t="s">
        <v>817</v>
      </c>
      <c r="B366" t="s">
        <v>799</v>
      </c>
      <c r="C366" t="s">
        <v>799</v>
      </c>
      <c r="D366" s="6" t="s">
        <v>305</v>
      </c>
      <c r="E366">
        <f t="shared" ca="1" si="43"/>
        <v>27</v>
      </c>
      <c r="F366" s="20">
        <v>36294</v>
      </c>
      <c r="G366" s="20">
        <v>43282</v>
      </c>
      <c r="H366" s="20">
        <v>46387</v>
      </c>
      <c r="I366" s="17">
        <v>200000</v>
      </c>
      <c r="J366" t="s">
        <v>357</v>
      </c>
      <c r="K366" s="6" t="s">
        <v>494</v>
      </c>
      <c r="L366">
        <v>3</v>
      </c>
      <c r="M366">
        <v>23</v>
      </c>
      <c r="N366" s="17">
        <v>2500000</v>
      </c>
      <c r="O366" s="24">
        <f t="shared" si="44"/>
        <v>8750000</v>
      </c>
      <c r="P366" t="s">
        <v>493</v>
      </c>
      <c r="Q366">
        <f t="shared" ca="1" si="45"/>
        <v>120000</v>
      </c>
      <c r="R366" t="s">
        <v>506</v>
      </c>
      <c r="S366">
        <v>1.75</v>
      </c>
      <c r="T366" s="20">
        <f t="shared" ca="1" si="46"/>
        <v>46296</v>
      </c>
      <c r="U366">
        <f t="shared" ca="1" si="50"/>
        <v>91</v>
      </c>
      <c r="V366" t="str">
        <f t="shared" ca="1" si="47"/>
        <v>Pre contrato</v>
      </c>
      <c r="W366" s="34">
        <f t="shared" si="48"/>
        <v>1200000</v>
      </c>
      <c r="X366" s="34">
        <f t="shared" si="49"/>
        <v>2600000</v>
      </c>
    </row>
    <row r="367" spans="1:24">
      <c r="A367" t="s">
        <v>818</v>
      </c>
      <c r="B367" t="s">
        <v>799</v>
      </c>
      <c r="C367" t="s">
        <v>799</v>
      </c>
      <c r="D367" s="6" t="s">
        <v>305</v>
      </c>
      <c r="E367">
        <f t="shared" ca="1" si="43"/>
        <v>27</v>
      </c>
      <c r="F367" s="20">
        <v>36171</v>
      </c>
      <c r="G367" s="20">
        <v>45292</v>
      </c>
      <c r="H367" s="20">
        <v>45777</v>
      </c>
      <c r="I367" s="17">
        <v>120000</v>
      </c>
      <c r="J367" t="s">
        <v>394</v>
      </c>
      <c r="K367" s="6" t="s">
        <v>494</v>
      </c>
      <c r="L367">
        <v>0</v>
      </c>
      <c r="M367">
        <v>0</v>
      </c>
      <c r="N367" s="17">
        <v>2000000</v>
      </c>
      <c r="O367" s="24">
        <f t="shared" si="44"/>
        <v>7000000</v>
      </c>
      <c r="P367" t="s">
        <v>493</v>
      </c>
      <c r="Q367">
        <f t="shared" ca="1" si="45"/>
        <v>120000</v>
      </c>
      <c r="R367" t="s">
        <v>506</v>
      </c>
      <c r="S367">
        <v>1.87</v>
      </c>
      <c r="T367" s="20">
        <f t="shared" ca="1" si="46"/>
        <v>46296</v>
      </c>
      <c r="U367">
        <f t="shared" ca="1" si="50"/>
        <v>-519</v>
      </c>
      <c r="V367" t="str">
        <f t="shared" ca="1" si="47"/>
        <v>Pre contrato</v>
      </c>
      <c r="W367" s="34">
        <f t="shared" si="48"/>
        <v>720000</v>
      </c>
      <c r="X367" s="34">
        <f t="shared" si="49"/>
        <v>1560000</v>
      </c>
    </row>
    <row r="368" spans="1:24">
      <c r="A368" t="s">
        <v>819</v>
      </c>
      <c r="B368" t="s">
        <v>799</v>
      </c>
      <c r="C368" t="s">
        <v>799</v>
      </c>
      <c r="D368" s="6" t="s">
        <v>305</v>
      </c>
      <c r="E368">
        <f t="shared" ca="1" si="43"/>
        <v>32</v>
      </c>
      <c r="F368" s="20">
        <v>34392</v>
      </c>
      <c r="G368" s="20">
        <v>45474</v>
      </c>
      <c r="H368" s="20">
        <v>46022</v>
      </c>
      <c r="I368" s="17">
        <v>70000</v>
      </c>
      <c r="J368" t="s">
        <v>820</v>
      </c>
      <c r="K368" s="6" t="s">
        <v>494</v>
      </c>
      <c r="L368">
        <v>0</v>
      </c>
      <c r="M368">
        <v>0</v>
      </c>
      <c r="N368" s="17">
        <v>600000</v>
      </c>
      <c r="O368" s="24">
        <f t="shared" si="44"/>
        <v>2100000</v>
      </c>
      <c r="P368" t="s">
        <v>493</v>
      </c>
      <c r="Q368">
        <f t="shared" ca="1" si="45"/>
        <v>100000</v>
      </c>
      <c r="R368" t="s">
        <v>506</v>
      </c>
      <c r="S368">
        <v>1.84</v>
      </c>
      <c r="T368" s="20">
        <f t="shared" ca="1" si="46"/>
        <v>46296</v>
      </c>
      <c r="U368">
        <f t="shared" ca="1" si="50"/>
        <v>-274</v>
      </c>
      <c r="V368" t="str">
        <f t="shared" ca="1" si="47"/>
        <v>Pre contrato</v>
      </c>
      <c r="W368" s="34">
        <f t="shared" si="48"/>
        <v>420000</v>
      </c>
      <c r="X368" s="34">
        <f t="shared" si="49"/>
        <v>910000</v>
      </c>
    </row>
    <row r="369" spans="1:24">
      <c r="A369" t="s">
        <v>821</v>
      </c>
      <c r="B369" t="s">
        <v>799</v>
      </c>
      <c r="C369" t="s">
        <v>799</v>
      </c>
      <c r="D369" s="6" t="s">
        <v>305</v>
      </c>
      <c r="E369">
        <f t="shared" ca="1" si="43"/>
        <v>29</v>
      </c>
      <c r="F369" s="20">
        <v>35464</v>
      </c>
      <c r="G369" s="20">
        <v>45474</v>
      </c>
      <c r="H369" s="20">
        <v>46022</v>
      </c>
      <c r="I369" s="17">
        <v>80000</v>
      </c>
      <c r="J369" t="s">
        <v>681</v>
      </c>
      <c r="K369" s="6" t="s">
        <v>494</v>
      </c>
      <c r="L369">
        <v>1</v>
      </c>
      <c r="M369">
        <v>10</v>
      </c>
      <c r="N369" s="17">
        <v>800000</v>
      </c>
      <c r="O369" s="24">
        <f t="shared" si="44"/>
        <v>2800000</v>
      </c>
      <c r="P369" t="s">
        <v>493</v>
      </c>
      <c r="Q369">
        <f t="shared" ca="1" si="45"/>
        <v>120000</v>
      </c>
      <c r="R369" t="s">
        <v>506</v>
      </c>
      <c r="S369">
        <v>1.74</v>
      </c>
      <c r="T369" s="20">
        <f t="shared" ca="1" si="46"/>
        <v>46296</v>
      </c>
      <c r="U369">
        <f t="shared" ca="1" si="50"/>
        <v>-274</v>
      </c>
      <c r="V369" t="str">
        <f t="shared" ca="1" si="47"/>
        <v>Pre contrato</v>
      </c>
      <c r="W369" s="34">
        <f t="shared" si="48"/>
        <v>480000</v>
      </c>
      <c r="X369" s="34">
        <f t="shared" si="49"/>
        <v>1040000</v>
      </c>
    </row>
    <row r="370" spans="1:24">
      <c r="A370" t="s">
        <v>822</v>
      </c>
      <c r="B370" t="s">
        <v>799</v>
      </c>
      <c r="C370" t="s">
        <v>799</v>
      </c>
      <c r="D370" s="6" t="s">
        <v>305</v>
      </c>
      <c r="E370">
        <f t="shared" ca="1" si="43"/>
        <v>33</v>
      </c>
      <c r="F370" s="20">
        <v>34105</v>
      </c>
      <c r="G370" s="20">
        <v>45302</v>
      </c>
      <c r="H370" s="20">
        <v>46022</v>
      </c>
      <c r="I370" s="17">
        <v>80000</v>
      </c>
      <c r="J370" t="s">
        <v>588</v>
      </c>
      <c r="K370" s="6" t="s">
        <v>494</v>
      </c>
      <c r="L370">
        <v>0</v>
      </c>
      <c r="M370">
        <v>0</v>
      </c>
      <c r="N370" s="17">
        <v>850000</v>
      </c>
      <c r="O370" s="24">
        <f t="shared" si="44"/>
        <v>2975000</v>
      </c>
      <c r="P370" t="s">
        <v>493</v>
      </c>
      <c r="Q370">
        <f t="shared" ca="1" si="45"/>
        <v>100000</v>
      </c>
      <c r="R370" t="s">
        <v>506</v>
      </c>
      <c r="S370">
        <v>1.79</v>
      </c>
      <c r="T370" s="20">
        <f t="shared" ca="1" si="46"/>
        <v>46296</v>
      </c>
      <c r="U370">
        <f t="shared" ca="1" si="50"/>
        <v>-274</v>
      </c>
      <c r="V370" t="str">
        <f t="shared" ca="1" si="47"/>
        <v>Pre contrato</v>
      </c>
      <c r="W370" s="34">
        <f t="shared" si="48"/>
        <v>480000</v>
      </c>
      <c r="X370" s="34">
        <f t="shared" si="49"/>
        <v>1040000</v>
      </c>
    </row>
    <row r="371" spans="1:24">
      <c r="A371" t="s">
        <v>823</v>
      </c>
      <c r="B371" t="s">
        <v>799</v>
      </c>
      <c r="C371" t="s">
        <v>799</v>
      </c>
      <c r="D371" s="6" t="s">
        <v>305</v>
      </c>
      <c r="E371">
        <f t="shared" ca="1" si="43"/>
        <v>25</v>
      </c>
      <c r="F371" s="20">
        <v>37121</v>
      </c>
      <c r="G371" s="20">
        <v>45357</v>
      </c>
      <c r="H371" s="20">
        <v>46387</v>
      </c>
      <c r="I371" s="17">
        <v>50000</v>
      </c>
      <c r="J371" t="s">
        <v>348</v>
      </c>
      <c r="K371" s="6" t="s">
        <v>494</v>
      </c>
      <c r="L371">
        <v>0</v>
      </c>
      <c r="M371">
        <v>0</v>
      </c>
      <c r="N371" s="17">
        <v>400000</v>
      </c>
      <c r="O371" s="24">
        <f t="shared" si="44"/>
        <v>1400000</v>
      </c>
      <c r="P371" t="s">
        <v>493</v>
      </c>
      <c r="Q371">
        <f t="shared" ca="1" si="45"/>
        <v>120000</v>
      </c>
      <c r="R371" t="s">
        <v>506</v>
      </c>
      <c r="S371">
        <v>1.77</v>
      </c>
      <c r="T371" s="20">
        <f t="shared" ca="1" si="46"/>
        <v>46296</v>
      </c>
      <c r="U371">
        <f t="shared" ca="1" si="50"/>
        <v>91</v>
      </c>
      <c r="V371" t="str">
        <f t="shared" ca="1" si="47"/>
        <v>Pre contrato</v>
      </c>
      <c r="W371" s="34">
        <f t="shared" si="48"/>
        <v>300000</v>
      </c>
      <c r="X371" s="34">
        <f t="shared" si="49"/>
        <v>650000</v>
      </c>
    </row>
    <row r="372" spans="1:24">
      <c r="A372" t="s">
        <v>824</v>
      </c>
      <c r="B372" t="s">
        <v>799</v>
      </c>
      <c r="C372" t="s">
        <v>799</v>
      </c>
      <c r="D372" s="6" t="s">
        <v>305</v>
      </c>
      <c r="E372">
        <f t="shared" ca="1" si="43"/>
        <v>30</v>
      </c>
      <c r="F372" s="20">
        <v>35084</v>
      </c>
      <c r="G372" s="20">
        <v>45302</v>
      </c>
      <c r="H372" s="20">
        <v>46022</v>
      </c>
      <c r="I372" s="17">
        <v>60000</v>
      </c>
      <c r="J372" t="s">
        <v>348</v>
      </c>
      <c r="K372" s="6" t="s">
        <v>494</v>
      </c>
      <c r="L372">
        <v>0</v>
      </c>
      <c r="M372">
        <v>0</v>
      </c>
      <c r="N372" s="17">
        <v>350000</v>
      </c>
      <c r="O372" s="24">
        <f t="shared" si="44"/>
        <v>1225000</v>
      </c>
      <c r="P372" t="s">
        <v>493</v>
      </c>
      <c r="Q372">
        <f t="shared" ca="1" si="45"/>
        <v>120000</v>
      </c>
      <c r="R372" t="s">
        <v>506</v>
      </c>
      <c r="S372">
        <v>1.74</v>
      </c>
      <c r="T372" s="20">
        <f t="shared" ca="1" si="46"/>
        <v>46296</v>
      </c>
      <c r="U372">
        <f t="shared" ca="1" si="50"/>
        <v>-274</v>
      </c>
      <c r="V372" t="str">
        <f t="shared" ca="1" si="47"/>
        <v>Pre contrato</v>
      </c>
      <c r="W372" s="34">
        <f t="shared" si="48"/>
        <v>360000</v>
      </c>
      <c r="X372" s="34">
        <f t="shared" si="49"/>
        <v>780000</v>
      </c>
    </row>
    <row r="373" spans="1:24">
      <c r="A373" t="s">
        <v>825</v>
      </c>
      <c r="B373" t="s">
        <v>799</v>
      </c>
      <c r="C373" t="s">
        <v>799</v>
      </c>
      <c r="D373" s="6" t="s">
        <v>305</v>
      </c>
      <c r="E373">
        <f t="shared" ca="1" si="43"/>
        <v>27</v>
      </c>
      <c r="F373" s="20">
        <v>36316</v>
      </c>
      <c r="G373" s="20">
        <v>45302</v>
      </c>
      <c r="H373" s="20">
        <v>46022</v>
      </c>
      <c r="I373" s="17">
        <v>55000</v>
      </c>
      <c r="J373" t="s">
        <v>348</v>
      </c>
      <c r="K373" s="6" t="s">
        <v>494</v>
      </c>
      <c r="L373">
        <v>0</v>
      </c>
      <c r="M373">
        <v>0</v>
      </c>
      <c r="N373" s="17">
        <v>450000</v>
      </c>
      <c r="O373" s="24">
        <f t="shared" si="44"/>
        <v>1575000</v>
      </c>
      <c r="P373" t="s">
        <v>493</v>
      </c>
      <c r="Q373">
        <f t="shared" ca="1" si="45"/>
        <v>120000</v>
      </c>
      <c r="R373" t="s">
        <v>506</v>
      </c>
      <c r="S373">
        <v>1.86</v>
      </c>
      <c r="T373" s="20">
        <f t="shared" ca="1" si="46"/>
        <v>46296</v>
      </c>
      <c r="U373">
        <f t="shared" ca="1" si="50"/>
        <v>-274</v>
      </c>
      <c r="V373" t="str">
        <f t="shared" ca="1" si="47"/>
        <v>Pre contrato</v>
      </c>
      <c r="W373" s="34">
        <f t="shared" si="48"/>
        <v>330000</v>
      </c>
      <c r="X373" s="34">
        <f t="shared" si="49"/>
        <v>715000</v>
      </c>
    </row>
    <row r="374" spans="1:24">
      <c r="A374" t="s">
        <v>826</v>
      </c>
      <c r="B374" t="s">
        <v>799</v>
      </c>
      <c r="C374" t="s">
        <v>799</v>
      </c>
      <c r="D374" s="6" t="s">
        <v>305</v>
      </c>
      <c r="E374">
        <f t="shared" ca="1" si="43"/>
        <v>32</v>
      </c>
      <c r="F374" s="20">
        <v>34257</v>
      </c>
      <c r="G374" s="20">
        <v>45357</v>
      </c>
      <c r="H374" s="20">
        <v>46387</v>
      </c>
      <c r="I374" s="17">
        <v>350000</v>
      </c>
      <c r="J374" t="s">
        <v>723</v>
      </c>
      <c r="K374" s="6" t="s">
        <v>499</v>
      </c>
      <c r="L374">
        <v>0</v>
      </c>
      <c r="M374">
        <v>0</v>
      </c>
      <c r="N374" s="17">
        <v>2000000</v>
      </c>
      <c r="O374" s="24">
        <f t="shared" si="44"/>
        <v>7000000</v>
      </c>
      <c r="P374" t="s">
        <v>497</v>
      </c>
      <c r="Q374">
        <f t="shared" ca="1" si="45"/>
        <v>100000</v>
      </c>
      <c r="R374" t="s">
        <v>503</v>
      </c>
      <c r="S374">
        <v>1.72</v>
      </c>
      <c r="T374" s="20">
        <f t="shared" ca="1" si="46"/>
        <v>46296</v>
      </c>
      <c r="U374">
        <f t="shared" ca="1" si="50"/>
        <v>91</v>
      </c>
      <c r="V374" t="str">
        <f t="shared" ca="1" si="47"/>
        <v>Pre contrato</v>
      </c>
      <c r="W374" s="34">
        <f t="shared" si="48"/>
        <v>2100000</v>
      </c>
      <c r="X374" s="34">
        <f t="shared" si="49"/>
        <v>4550000</v>
      </c>
    </row>
    <row r="375" spans="1:24">
      <c r="A375" t="s">
        <v>827</v>
      </c>
      <c r="B375" t="s">
        <v>799</v>
      </c>
      <c r="C375" t="s">
        <v>799</v>
      </c>
      <c r="D375" s="6" t="s">
        <v>305</v>
      </c>
      <c r="E375">
        <f t="shared" ca="1" si="43"/>
        <v>26</v>
      </c>
      <c r="F375" s="20">
        <v>36692</v>
      </c>
      <c r="G375" s="20">
        <v>45302</v>
      </c>
      <c r="H375" s="20">
        <v>46022</v>
      </c>
      <c r="I375" s="17">
        <v>50000</v>
      </c>
      <c r="J375" t="s">
        <v>828</v>
      </c>
      <c r="K375" s="6" t="s">
        <v>499</v>
      </c>
      <c r="L375">
        <v>0</v>
      </c>
      <c r="M375">
        <v>0</v>
      </c>
      <c r="N375" s="17">
        <v>200000</v>
      </c>
      <c r="O375" s="24">
        <f t="shared" si="44"/>
        <v>700000</v>
      </c>
      <c r="P375" t="s">
        <v>493</v>
      </c>
      <c r="Q375">
        <f t="shared" ca="1" si="45"/>
        <v>120000</v>
      </c>
      <c r="R375" t="s">
        <v>506</v>
      </c>
      <c r="S375">
        <v>1.73</v>
      </c>
      <c r="T375" s="20">
        <f t="shared" ca="1" si="46"/>
        <v>46296</v>
      </c>
      <c r="U375">
        <f t="shared" ref="U375:U406" ca="1" si="51">_xlfn.DAYS(H375,T375)</f>
        <v>-274</v>
      </c>
      <c r="V375" t="str">
        <f t="shared" ca="1" si="47"/>
        <v>Pre contrato</v>
      </c>
      <c r="W375" s="34">
        <f t="shared" si="48"/>
        <v>300000</v>
      </c>
      <c r="X375" s="34">
        <f t="shared" si="49"/>
        <v>650000</v>
      </c>
    </row>
    <row r="376" spans="1:24">
      <c r="A376" t="s">
        <v>829</v>
      </c>
      <c r="B376" t="s">
        <v>799</v>
      </c>
      <c r="C376" t="s">
        <v>799</v>
      </c>
      <c r="D376" s="6" t="s">
        <v>305</v>
      </c>
      <c r="E376">
        <f t="shared" ca="1" si="43"/>
        <v>32</v>
      </c>
      <c r="F376" s="20">
        <v>34441</v>
      </c>
      <c r="G376" s="20">
        <v>44664</v>
      </c>
      <c r="H376" s="20">
        <v>46022</v>
      </c>
      <c r="I376" s="17">
        <v>25000</v>
      </c>
      <c r="J376" t="s">
        <v>830</v>
      </c>
      <c r="K376" s="6" t="s">
        <v>499</v>
      </c>
      <c r="L376">
        <v>0</v>
      </c>
      <c r="M376">
        <v>0</v>
      </c>
      <c r="N376" s="17">
        <v>50000</v>
      </c>
      <c r="O376" s="24">
        <f t="shared" si="44"/>
        <v>175000</v>
      </c>
      <c r="P376" t="s">
        <v>493</v>
      </c>
      <c r="Q376">
        <f t="shared" ca="1" si="45"/>
        <v>100000</v>
      </c>
      <c r="R376" t="s">
        <v>503</v>
      </c>
      <c r="S376">
        <v>1.72</v>
      </c>
      <c r="T376" s="20">
        <f t="shared" ca="1" si="46"/>
        <v>46296</v>
      </c>
      <c r="U376">
        <f t="shared" ca="1" si="51"/>
        <v>-274</v>
      </c>
      <c r="V376" t="str">
        <f t="shared" ca="1" si="47"/>
        <v>Pre contrato</v>
      </c>
      <c r="W376" s="34">
        <f t="shared" si="48"/>
        <v>150000</v>
      </c>
      <c r="X376" s="34">
        <f t="shared" si="49"/>
        <v>325000</v>
      </c>
    </row>
    <row r="377" spans="1:24">
      <c r="A377" t="s">
        <v>831</v>
      </c>
      <c r="B377" t="s">
        <v>799</v>
      </c>
      <c r="C377" t="s">
        <v>799</v>
      </c>
      <c r="D377" s="6" t="s">
        <v>305</v>
      </c>
      <c r="E377">
        <f t="shared" ca="1" si="43"/>
        <v>28</v>
      </c>
      <c r="F377" s="20">
        <v>35721</v>
      </c>
      <c r="G377" s="20">
        <v>45028</v>
      </c>
      <c r="H377" s="20">
        <v>47118</v>
      </c>
      <c r="I377" s="17">
        <v>450000</v>
      </c>
      <c r="J377" t="s">
        <v>348</v>
      </c>
      <c r="K377" s="6" t="s">
        <v>499</v>
      </c>
      <c r="L377">
        <v>0</v>
      </c>
      <c r="M377">
        <v>0</v>
      </c>
      <c r="N377" s="17">
        <v>3500000</v>
      </c>
      <c r="O377" s="24">
        <f t="shared" si="44"/>
        <v>12250000</v>
      </c>
      <c r="P377" t="s">
        <v>493</v>
      </c>
      <c r="Q377">
        <f t="shared" ca="1" si="45"/>
        <v>120000</v>
      </c>
      <c r="R377" t="s">
        <v>503</v>
      </c>
      <c r="S377">
        <v>1.65</v>
      </c>
      <c r="T377" s="20">
        <f t="shared" ca="1" si="46"/>
        <v>46296</v>
      </c>
      <c r="U377">
        <f t="shared" ca="1" si="51"/>
        <v>822</v>
      </c>
      <c r="V377" t="str">
        <f t="shared" ca="1" si="47"/>
        <v>Com Contrato em vigor</v>
      </c>
      <c r="W377" s="34">
        <f t="shared" si="48"/>
        <v>2700000</v>
      </c>
      <c r="X377" s="34">
        <f t="shared" si="49"/>
        <v>5850000</v>
      </c>
    </row>
    <row r="378" spans="1:24">
      <c r="A378" t="s">
        <v>832</v>
      </c>
      <c r="B378" t="s">
        <v>799</v>
      </c>
      <c r="C378" t="s">
        <v>799</v>
      </c>
      <c r="D378" s="6" t="s">
        <v>305</v>
      </c>
      <c r="E378">
        <f t="shared" ca="1" si="43"/>
        <v>32</v>
      </c>
      <c r="F378" s="20">
        <v>34482</v>
      </c>
      <c r="G378" s="20">
        <v>45302</v>
      </c>
      <c r="H378" s="20">
        <v>46022</v>
      </c>
      <c r="I378" s="17">
        <v>500000</v>
      </c>
      <c r="J378" t="s">
        <v>588</v>
      </c>
      <c r="K378" s="6" t="s">
        <v>500</v>
      </c>
      <c r="L378">
        <v>1</v>
      </c>
      <c r="M378">
        <v>14</v>
      </c>
      <c r="N378" s="17">
        <v>2500000</v>
      </c>
      <c r="O378" s="24">
        <f t="shared" si="44"/>
        <v>8750000</v>
      </c>
      <c r="P378" t="s">
        <v>493</v>
      </c>
      <c r="Q378">
        <f t="shared" ca="1" si="45"/>
        <v>100000</v>
      </c>
      <c r="R378" t="s">
        <v>503</v>
      </c>
      <c r="S378">
        <v>1.72</v>
      </c>
      <c r="T378" s="20">
        <f t="shared" ca="1" si="46"/>
        <v>46296</v>
      </c>
      <c r="U378">
        <f t="shared" ca="1" si="51"/>
        <v>-274</v>
      </c>
      <c r="V378" t="str">
        <f t="shared" ca="1" si="47"/>
        <v>Pre contrato</v>
      </c>
      <c r="W378" s="34">
        <f t="shared" si="48"/>
        <v>3000000</v>
      </c>
      <c r="X378" s="34">
        <f t="shared" si="49"/>
        <v>6500000</v>
      </c>
    </row>
    <row r="379" spans="1:24">
      <c r="A379" t="s">
        <v>833</v>
      </c>
      <c r="B379" t="s">
        <v>799</v>
      </c>
      <c r="C379" t="s">
        <v>799</v>
      </c>
      <c r="D379" s="6" t="s">
        <v>305</v>
      </c>
      <c r="E379">
        <f t="shared" ca="1" si="43"/>
        <v>26</v>
      </c>
      <c r="F379" s="20">
        <v>36450</v>
      </c>
      <c r="G379" s="20">
        <v>45302</v>
      </c>
      <c r="H379" s="20">
        <v>46022</v>
      </c>
      <c r="I379" s="17">
        <v>250000</v>
      </c>
      <c r="J379" t="s">
        <v>834</v>
      </c>
      <c r="K379" s="6" t="s">
        <v>500</v>
      </c>
      <c r="L379">
        <v>0</v>
      </c>
      <c r="M379">
        <v>0</v>
      </c>
      <c r="N379" s="17">
        <v>1000000</v>
      </c>
      <c r="O379" s="24">
        <f t="shared" si="44"/>
        <v>3500000</v>
      </c>
      <c r="P379" t="s">
        <v>493</v>
      </c>
      <c r="Q379">
        <f t="shared" ca="1" si="45"/>
        <v>120000</v>
      </c>
      <c r="R379" t="s">
        <v>503</v>
      </c>
      <c r="S379">
        <v>1.77</v>
      </c>
      <c r="T379" s="20">
        <f t="shared" ca="1" si="46"/>
        <v>46296</v>
      </c>
      <c r="U379">
        <f t="shared" ca="1" si="51"/>
        <v>-274</v>
      </c>
      <c r="V379" t="str">
        <f t="shared" ca="1" si="47"/>
        <v>Pre contrato</v>
      </c>
      <c r="W379" s="34">
        <f t="shared" si="48"/>
        <v>1500000</v>
      </c>
      <c r="X379" s="34">
        <f t="shared" si="49"/>
        <v>3250000</v>
      </c>
    </row>
    <row r="380" spans="1:24">
      <c r="A380" t="s">
        <v>835</v>
      </c>
      <c r="B380" t="s">
        <v>799</v>
      </c>
      <c r="C380" t="s">
        <v>799</v>
      </c>
      <c r="D380" s="6" t="s">
        <v>305</v>
      </c>
      <c r="E380">
        <f t="shared" ca="1" si="43"/>
        <v>32</v>
      </c>
      <c r="F380" s="20">
        <v>34605</v>
      </c>
      <c r="G380" s="20">
        <v>45302</v>
      </c>
      <c r="H380" s="20">
        <v>46022</v>
      </c>
      <c r="I380" s="17">
        <v>150000</v>
      </c>
      <c r="J380" t="s">
        <v>423</v>
      </c>
      <c r="K380" s="6" t="s">
        <v>500</v>
      </c>
      <c r="L380">
        <v>0</v>
      </c>
      <c r="M380">
        <v>0</v>
      </c>
      <c r="N380" s="17">
        <v>500000</v>
      </c>
      <c r="O380" s="24">
        <f t="shared" si="44"/>
        <v>1750000</v>
      </c>
      <c r="P380" t="s">
        <v>493</v>
      </c>
      <c r="Q380">
        <f t="shared" ca="1" si="45"/>
        <v>100000</v>
      </c>
      <c r="R380" t="s">
        <v>503</v>
      </c>
      <c r="S380">
        <v>1.72</v>
      </c>
      <c r="T380" s="20">
        <f t="shared" ca="1" si="46"/>
        <v>46296</v>
      </c>
      <c r="U380">
        <f t="shared" ca="1" si="51"/>
        <v>-274</v>
      </c>
      <c r="V380" t="str">
        <f t="shared" ca="1" si="47"/>
        <v>Pre contrato</v>
      </c>
      <c r="W380" s="34">
        <f t="shared" si="48"/>
        <v>900000</v>
      </c>
      <c r="X380" s="34">
        <f t="shared" si="49"/>
        <v>1950000</v>
      </c>
    </row>
    <row r="381" spans="1:24">
      <c r="A381" t="s">
        <v>836</v>
      </c>
      <c r="B381" t="s">
        <v>799</v>
      </c>
      <c r="C381" t="s">
        <v>799</v>
      </c>
      <c r="D381" s="6" t="s">
        <v>305</v>
      </c>
      <c r="E381">
        <f t="shared" ca="1" si="43"/>
        <v>29</v>
      </c>
      <c r="F381" s="20">
        <v>35680</v>
      </c>
      <c r="G381" s="20">
        <v>45532</v>
      </c>
      <c r="H381" s="20">
        <v>46387</v>
      </c>
      <c r="I381" s="17">
        <v>120000</v>
      </c>
      <c r="J381" t="s">
        <v>441</v>
      </c>
      <c r="K381" s="6" t="s">
        <v>500</v>
      </c>
      <c r="L381">
        <v>0</v>
      </c>
      <c r="M381">
        <v>0</v>
      </c>
      <c r="N381" s="17">
        <v>2000000</v>
      </c>
      <c r="O381" s="24">
        <f t="shared" si="44"/>
        <v>7000000</v>
      </c>
      <c r="P381" t="s">
        <v>493</v>
      </c>
      <c r="Q381">
        <f t="shared" ca="1" si="45"/>
        <v>120000</v>
      </c>
      <c r="R381" t="s">
        <v>506</v>
      </c>
      <c r="S381">
        <v>1.68</v>
      </c>
      <c r="T381" s="20">
        <f t="shared" ca="1" si="46"/>
        <v>46296</v>
      </c>
      <c r="U381">
        <f t="shared" ca="1" si="51"/>
        <v>91</v>
      </c>
      <c r="V381" t="str">
        <f t="shared" ca="1" si="47"/>
        <v>Pre contrato</v>
      </c>
      <c r="W381" s="34">
        <f t="shared" si="48"/>
        <v>720000</v>
      </c>
      <c r="X381" s="34">
        <f t="shared" si="49"/>
        <v>1560000</v>
      </c>
    </row>
    <row r="382" spans="1:24">
      <c r="A382" t="s">
        <v>837</v>
      </c>
      <c r="B382" t="s">
        <v>799</v>
      </c>
      <c r="C382" t="s">
        <v>799</v>
      </c>
      <c r="D382" s="6" t="s">
        <v>305</v>
      </c>
      <c r="E382">
        <f t="shared" ca="1" si="43"/>
        <v>29</v>
      </c>
      <c r="F382" s="20">
        <v>35348</v>
      </c>
      <c r="G382" s="20">
        <v>45496</v>
      </c>
      <c r="H382" s="20">
        <v>46022</v>
      </c>
      <c r="I382" s="17">
        <v>120000</v>
      </c>
      <c r="J382" t="s">
        <v>484</v>
      </c>
      <c r="K382" s="6" t="s">
        <v>500</v>
      </c>
      <c r="L382">
        <v>0</v>
      </c>
      <c r="M382">
        <v>0</v>
      </c>
      <c r="N382" s="17">
        <v>650000</v>
      </c>
      <c r="O382" s="24">
        <f t="shared" si="44"/>
        <v>2275000</v>
      </c>
      <c r="P382" t="s">
        <v>493</v>
      </c>
      <c r="Q382">
        <f t="shared" ca="1" si="45"/>
        <v>120000</v>
      </c>
      <c r="R382" t="s">
        <v>506</v>
      </c>
      <c r="S382">
        <v>1.73</v>
      </c>
      <c r="T382" s="20">
        <f t="shared" ca="1" si="46"/>
        <v>46296</v>
      </c>
      <c r="U382">
        <f t="shared" ca="1" si="51"/>
        <v>-274</v>
      </c>
      <c r="V382" t="str">
        <f t="shared" ca="1" si="47"/>
        <v>Pre contrato</v>
      </c>
      <c r="W382" s="34">
        <f t="shared" si="48"/>
        <v>720000</v>
      </c>
      <c r="X382" s="34">
        <f t="shared" si="49"/>
        <v>1560000</v>
      </c>
    </row>
    <row r="383" spans="1:24">
      <c r="A383" t="s">
        <v>838</v>
      </c>
      <c r="B383" t="s">
        <v>799</v>
      </c>
      <c r="C383" t="s">
        <v>799</v>
      </c>
      <c r="D383" s="6" t="s">
        <v>309</v>
      </c>
      <c r="E383">
        <f t="shared" ca="1" si="43"/>
        <v>31</v>
      </c>
      <c r="F383" s="20">
        <v>34735</v>
      </c>
      <c r="G383" s="20">
        <v>45302</v>
      </c>
      <c r="H383" s="20">
        <v>46022</v>
      </c>
      <c r="I383" s="17">
        <v>80000</v>
      </c>
      <c r="J383" t="s">
        <v>353</v>
      </c>
      <c r="K383" s="6" t="s">
        <v>500</v>
      </c>
      <c r="L383">
        <v>0</v>
      </c>
      <c r="M383">
        <v>0</v>
      </c>
      <c r="N383" s="17">
        <v>500000</v>
      </c>
      <c r="O383" s="24">
        <f t="shared" si="44"/>
        <v>1750000</v>
      </c>
      <c r="P383" t="s">
        <v>493</v>
      </c>
      <c r="Q383">
        <f t="shared" ca="1" si="45"/>
        <v>100000</v>
      </c>
      <c r="R383" t="s">
        <v>506</v>
      </c>
      <c r="S383">
        <v>1.78</v>
      </c>
      <c r="T383" s="20">
        <f t="shared" ca="1" si="46"/>
        <v>46296</v>
      </c>
      <c r="U383">
        <f t="shared" ca="1" si="51"/>
        <v>-274</v>
      </c>
      <c r="V383" t="str">
        <f t="shared" ca="1" si="47"/>
        <v>Pre contrato</v>
      </c>
      <c r="W383" s="34">
        <f t="shared" si="48"/>
        <v>480000</v>
      </c>
      <c r="X383" s="34">
        <f t="shared" si="49"/>
        <v>1040000</v>
      </c>
    </row>
    <row r="384" spans="1:24">
      <c r="A384" t="s">
        <v>839</v>
      </c>
      <c r="B384" t="s">
        <v>799</v>
      </c>
      <c r="C384" t="s">
        <v>799</v>
      </c>
      <c r="D384" s="6" t="s">
        <v>305</v>
      </c>
      <c r="E384">
        <f t="shared" ca="1" si="43"/>
        <v>26</v>
      </c>
      <c r="F384" s="20">
        <v>36537</v>
      </c>
      <c r="G384" s="20">
        <v>43847</v>
      </c>
      <c r="H384" s="20">
        <v>46387</v>
      </c>
      <c r="I384" s="17">
        <v>450000</v>
      </c>
      <c r="J384" t="s">
        <v>400</v>
      </c>
      <c r="K384" s="6" t="s">
        <v>500</v>
      </c>
      <c r="L384">
        <v>0</v>
      </c>
      <c r="M384">
        <v>0</v>
      </c>
      <c r="N384" s="17">
        <v>4500000</v>
      </c>
      <c r="O384" s="24">
        <f t="shared" si="44"/>
        <v>15750000</v>
      </c>
      <c r="P384" t="s">
        <v>493</v>
      </c>
      <c r="Q384">
        <f t="shared" ca="1" si="45"/>
        <v>120000</v>
      </c>
      <c r="R384" t="s">
        <v>506</v>
      </c>
      <c r="S384">
        <v>1.8</v>
      </c>
      <c r="T384" s="20">
        <f t="shared" ca="1" si="46"/>
        <v>46296</v>
      </c>
      <c r="U384">
        <f t="shared" ca="1" si="51"/>
        <v>91</v>
      </c>
      <c r="V384" t="str">
        <f t="shared" ca="1" si="47"/>
        <v>Pre contrato</v>
      </c>
      <c r="W384" s="34">
        <f t="shared" si="48"/>
        <v>2700000</v>
      </c>
      <c r="X384" s="34">
        <f t="shared" si="49"/>
        <v>5850000</v>
      </c>
    </row>
    <row r="385" spans="1:24">
      <c r="A385" t="s">
        <v>840</v>
      </c>
      <c r="B385" t="s">
        <v>799</v>
      </c>
      <c r="C385" t="s">
        <v>799</v>
      </c>
      <c r="D385" s="6" t="s">
        <v>305</v>
      </c>
      <c r="E385">
        <f t="shared" ca="1" si="43"/>
        <v>40</v>
      </c>
      <c r="F385" s="20">
        <v>31442</v>
      </c>
      <c r="G385" s="20">
        <v>45495</v>
      </c>
      <c r="H385" s="20">
        <v>45657</v>
      </c>
      <c r="I385" s="17">
        <v>100000</v>
      </c>
      <c r="J385" t="s">
        <v>348</v>
      </c>
      <c r="K385" s="6" t="s">
        <v>500</v>
      </c>
      <c r="L385">
        <v>0</v>
      </c>
      <c r="M385">
        <v>0</v>
      </c>
      <c r="N385" s="17">
        <v>150000</v>
      </c>
      <c r="O385" s="24">
        <f t="shared" si="44"/>
        <v>525000</v>
      </c>
      <c r="P385" t="s">
        <v>493</v>
      </c>
      <c r="Q385">
        <f t="shared" ca="1" si="45"/>
        <v>100000</v>
      </c>
      <c r="R385" t="s">
        <v>506</v>
      </c>
      <c r="S385">
        <v>1.88</v>
      </c>
      <c r="T385" s="20">
        <f t="shared" ca="1" si="46"/>
        <v>46296</v>
      </c>
      <c r="U385">
        <f t="shared" ca="1" si="51"/>
        <v>-639</v>
      </c>
      <c r="V385" t="str">
        <f t="shared" ca="1" si="47"/>
        <v>Pre contrato</v>
      </c>
      <c r="W385" s="34">
        <f t="shared" si="48"/>
        <v>600000</v>
      </c>
      <c r="X385" s="34">
        <f t="shared" si="49"/>
        <v>1300000</v>
      </c>
    </row>
    <row r="386" spans="1:24">
      <c r="A386" t="s">
        <v>841</v>
      </c>
      <c r="B386" t="s">
        <v>799</v>
      </c>
      <c r="C386" t="s">
        <v>799</v>
      </c>
      <c r="D386" s="6" t="s">
        <v>305</v>
      </c>
      <c r="E386">
        <f t="shared" ref="E386:E449" ca="1" si="52">DATEDIF(F386,TODAY(),"Y")</f>
        <v>33</v>
      </c>
      <c r="F386" s="20">
        <v>34019</v>
      </c>
      <c r="G386" s="20">
        <v>45302</v>
      </c>
      <c r="H386" s="20">
        <v>46022</v>
      </c>
      <c r="I386" s="17">
        <v>90000</v>
      </c>
      <c r="J386" t="s">
        <v>842</v>
      </c>
      <c r="K386" s="6" t="s">
        <v>500</v>
      </c>
      <c r="L386">
        <v>0</v>
      </c>
      <c r="M386">
        <v>0</v>
      </c>
      <c r="N386" s="17">
        <v>500000</v>
      </c>
      <c r="O386" s="24">
        <f t="shared" ref="O386:O449" si="53">N386*3.5</f>
        <v>1750000</v>
      </c>
      <c r="P386" t="s">
        <v>493</v>
      </c>
      <c r="Q386">
        <f t="shared" ref="Q386:Q449" ca="1" si="54">IF(E386&gt;30,100000,IF(E386&gt;24,120000,IF(E386&gt;16,160000)))</f>
        <v>100000</v>
      </c>
      <c r="R386" t="s">
        <v>506</v>
      </c>
      <c r="S386">
        <v>1.8</v>
      </c>
      <c r="T386" s="20">
        <f t="shared" ref="T386:T449" ca="1" si="55">TODAY()</f>
        <v>46296</v>
      </c>
      <c r="U386">
        <f t="shared" ca="1" si="51"/>
        <v>-274</v>
      </c>
      <c r="V386" t="str">
        <f t="shared" ref="V386:V449" ca="1" si="56">IF(U386&lt;180, "Pre contrato","Com Contrato em vigor")</f>
        <v>Pre contrato</v>
      </c>
      <c r="W386" s="34">
        <f t="shared" si="48"/>
        <v>540000</v>
      </c>
      <c r="X386" s="34">
        <f t="shared" si="49"/>
        <v>1170000</v>
      </c>
    </row>
    <row r="387" spans="1:24">
      <c r="A387" t="s">
        <v>843</v>
      </c>
      <c r="B387" t="s">
        <v>314</v>
      </c>
      <c r="C387" t="s">
        <v>314</v>
      </c>
      <c r="D387" s="6" t="s">
        <v>305</v>
      </c>
      <c r="E387">
        <f t="shared" ca="1" si="52"/>
        <v>46</v>
      </c>
      <c r="F387" s="20">
        <v>29494</v>
      </c>
      <c r="G387" s="20">
        <v>44580</v>
      </c>
      <c r="H387" s="20">
        <v>46022</v>
      </c>
      <c r="I387" s="17">
        <v>550000</v>
      </c>
      <c r="J387" t="s">
        <v>844</v>
      </c>
      <c r="K387" s="6" t="s">
        <v>495</v>
      </c>
      <c r="L387">
        <v>0</v>
      </c>
      <c r="M387">
        <v>0</v>
      </c>
      <c r="N387" s="17">
        <v>250000</v>
      </c>
      <c r="O387" s="24">
        <f t="shared" si="53"/>
        <v>875000</v>
      </c>
      <c r="P387" t="s">
        <v>493</v>
      </c>
      <c r="Q387">
        <f t="shared" ca="1" si="54"/>
        <v>100000</v>
      </c>
      <c r="R387" t="s">
        <v>506</v>
      </c>
      <c r="S387">
        <v>1.88</v>
      </c>
      <c r="T387" s="20">
        <f t="shared" ca="1" si="55"/>
        <v>46296</v>
      </c>
      <c r="U387">
        <f t="shared" ca="1" si="51"/>
        <v>-274</v>
      </c>
      <c r="V387" t="str">
        <f t="shared" ca="1" si="56"/>
        <v>Pre contrato</v>
      </c>
      <c r="W387" s="34">
        <f t="shared" ref="W387:W450" si="57">I387*6</f>
        <v>3300000</v>
      </c>
      <c r="X387" s="34">
        <f t="shared" ref="X387:X450" si="58">I387*13</f>
        <v>7150000</v>
      </c>
    </row>
    <row r="388" spans="1:24">
      <c r="A388" t="s">
        <v>843</v>
      </c>
      <c r="B388" t="s">
        <v>314</v>
      </c>
      <c r="C388" t="s">
        <v>314</v>
      </c>
      <c r="D388" s="6" t="s">
        <v>305</v>
      </c>
      <c r="E388">
        <f t="shared" ca="1" si="52"/>
        <v>38</v>
      </c>
      <c r="F388" s="20">
        <v>32284</v>
      </c>
      <c r="G388" s="20">
        <v>45302</v>
      </c>
      <c r="H388" s="20">
        <v>45657</v>
      </c>
      <c r="I388" s="17">
        <v>150000</v>
      </c>
      <c r="J388" t="s">
        <v>348</v>
      </c>
      <c r="K388" s="6" t="s">
        <v>495</v>
      </c>
      <c r="L388">
        <v>0</v>
      </c>
      <c r="M388">
        <v>0</v>
      </c>
      <c r="N388" s="17">
        <v>100000</v>
      </c>
      <c r="O388" s="24">
        <f t="shared" si="53"/>
        <v>350000</v>
      </c>
      <c r="P388" t="s">
        <v>493</v>
      </c>
      <c r="Q388">
        <f t="shared" ca="1" si="54"/>
        <v>100000</v>
      </c>
      <c r="R388" t="s">
        <v>503</v>
      </c>
      <c r="S388">
        <v>1.87</v>
      </c>
      <c r="T388" s="20">
        <f t="shared" ca="1" si="55"/>
        <v>46296</v>
      </c>
      <c r="U388">
        <f t="shared" ca="1" si="51"/>
        <v>-639</v>
      </c>
      <c r="V388" t="str">
        <f t="shared" ca="1" si="56"/>
        <v>Pre contrato</v>
      </c>
      <c r="W388" s="34">
        <f t="shared" si="57"/>
        <v>900000</v>
      </c>
      <c r="X388" s="34">
        <f t="shared" si="58"/>
        <v>1950000</v>
      </c>
    </row>
    <row r="389" spans="1:24">
      <c r="A389" t="s">
        <v>52</v>
      </c>
      <c r="B389" t="s">
        <v>314</v>
      </c>
      <c r="C389" t="s">
        <v>314</v>
      </c>
      <c r="D389" s="6" t="s">
        <v>305</v>
      </c>
      <c r="E389">
        <f t="shared" ca="1" si="52"/>
        <v>26</v>
      </c>
      <c r="F389" s="20">
        <v>36706</v>
      </c>
      <c r="G389" s="20">
        <v>44927</v>
      </c>
      <c r="H389" s="20">
        <v>46387</v>
      </c>
      <c r="I389" s="17">
        <v>75000</v>
      </c>
      <c r="J389" t="s">
        <v>845</v>
      </c>
      <c r="K389" s="6" t="s">
        <v>495</v>
      </c>
      <c r="L389">
        <v>0</v>
      </c>
      <c r="M389">
        <v>0</v>
      </c>
      <c r="N389" s="17">
        <v>500000</v>
      </c>
      <c r="O389" s="24">
        <f t="shared" si="53"/>
        <v>1750000</v>
      </c>
      <c r="P389" t="s">
        <v>493</v>
      </c>
      <c r="Q389">
        <f t="shared" ca="1" si="54"/>
        <v>120000</v>
      </c>
      <c r="R389" t="s">
        <v>506</v>
      </c>
      <c r="S389">
        <v>1.92</v>
      </c>
      <c r="T389" s="20">
        <f t="shared" ca="1" si="55"/>
        <v>46296</v>
      </c>
      <c r="U389">
        <f t="shared" ca="1" si="51"/>
        <v>91</v>
      </c>
      <c r="V389" t="str">
        <f t="shared" ca="1" si="56"/>
        <v>Pre contrato</v>
      </c>
      <c r="W389" s="34">
        <f t="shared" si="57"/>
        <v>450000</v>
      </c>
      <c r="X389" s="34">
        <f t="shared" si="58"/>
        <v>975000</v>
      </c>
    </row>
    <row r="390" spans="1:24">
      <c r="A390" t="s">
        <v>846</v>
      </c>
      <c r="B390" t="s">
        <v>314</v>
      </c>
      <c r="C390" t="s">
        <v>847</v>
      </c>
      <c r="D390" s="6" t="s">
        <v>305</v>
      </c>
      <c r="E390">
        <f t="shared" ca="1" si="52"/>
        <v>31</v>
      </c>
      <c r="F390" s="20">
        <v>34949</v>
      </c>
      <c r="G390" s="20">
        <v>45546</v>
      </c>
      <c r="H390" s="20">
        <v>45838</v>
      </c>
      <c r="I390" s="17">
        <v>350000</v>
      </c>
      <c r="J390" t="s">
        <v>428</v>
      </c>
      <c r="K390" s="6" t="s">
        <v>492</v>
      </c>
      <c r="L390">
        <v>1</v>
      </c>
      <c r="M390">
        <v>28</v>
      </c>
      <c r="N390" s="17">
        <v>4500000</v>
      </c>
      <c r="O390" s="24">
        <f t="shared" si="53"/>
        <v>15750000</v>
      </c>
      <c r="P390" t="s">
        <v>493</v>
      </c>
      <c r="Q390">
        <f t="shared" ca="1" si="54"/>
        <v>100000</v>
      </c>
      <c r="R390" t="s">
        <v>506</v>
      </c>
      <c r="S390">
        <v>1.82</v>
      </c>
      <c r="T390" s="20">
        <f t="shared" ca="1" si="55"/>
        <v>46296</v>
      </c>
      <c r="U390">
        <f t="shared" ca="1" si="51"/>
        <v>-458</v>
      </c>
      <c r="V390" t="str">
        <f t="shared" ca="1" si="56"/>
        <v>Pre contrato</v>
      </c>
      <c r="W390" s="34">
        <f t="shared" si="57"/>
        <v>2100000</v>
      </c>
      <c r="X390" s="34">
        <f t="shared" si="58"/>
        <v>4550000</v>
      </c>
    </row>
    <row r="391" spans="1:24">
      <c r="A391" t="s">
        <v>848</v>
      </c>
      <c r="B391" t="s">
        <v>314</v>
      </c>
      <c r="C391" t="s">
        <v>314</v>
      </c>
      <c r="D391" s="6" t="s">
        <v>305</v>
      </c>
      <c r="E391">
        <f t="shared" ca="1" si="52"/>
        <v>42</v>
      </c>
      <c r="F391" s="20">
        <v>30947</v>
      </c>
      <c r="G391" s="20">
        <v>45483</v>
      </c>
      <c r="H391" s="20">
        <v>46203</v>
      </c>
      <c r="I391" s="17">
        <v>900000</v>
      </c>
      <c r="J391" t="s">
        <v>849</v>
      </c>
      <c r="K391" s="6" t="s">
        <v>492</v>
      </c>
      <c r="L391">
        <v>1</v>
      </c>
      <c r="M391">
        <v>26</v>
      </c>
      <c r="N391" s="17">
        <v>1500000</v>
      </c>
      <c r="O391" s="24">
        <f t="shared" si="53"/>
        <v>5250000</v>
      </c>
      <c r="P391" t="s">
        <v>493</v>
      </c>
      <c r="Q391">
        <f t="shared" ca="1" si="54"/>
        <v>100000</v>
      </c>
      <c r="R391" t="s">
        <v>505</v>
      </c>
      <c r="S391">
        <v>1.81</v>
      </c>
      <c r="T391" s="20">
        <f t="shared" ca="1" si="55"/>
        <v>46296</v>
      </c>
      <c r="U391">
        <f t="shared" ca="1" si="51"/>
        <v>-93</v>
      </c>
      <c r="V391" t="str">
        <f t="shared" ca="1" si="56"/>
        <v>Pre contrato</v>
      </c>
      <c r="W391" s="34">
        <f t="shared" si="57"/>
        <v>5400000</v>
      </c>
      <c r="X391" s="34">
        <f t="shared" si="58"/>
        <v>11700000</v>
      </c>
    </row>
    <row r="392" spans="1:24">
      <c r="A392" t="s">
        <v>850</v>
      </c>
      <c r="B392" t="s">
        <v>314</v>
      </c>
      <c r="C392" t="s">
        <v>314</v>
      </c>
      <c r="D392" s="6" t="s">
        <v>305</v>
      </c>
      <c r="E392">
        <f t="shared" ca="1" si="52"/>
        <v>33</v>
      </c>
      <c r="F392" s="20">
        <v>34035</v>
      </c>
      <c r="G392" s="20">
        <v>45546</v>
      </c>
      <c r="H392" s="20">
        <v>45838</v>
      </c>
      <c r="I392" s="17">
        <v>350000</v>
      </c>
      <c r="J392" t="s">
        <v>429</v>
      </c>
      <c r="K392" s="6" t="s">
        <v>492</v>
      </c>
      <c r="L392">
        <v>0</v>
      </c>
      <c r="M392">
        <v>0</v>
      </c>
      <c r="N392" s="17">
        <v>1500000</v>
      </c>
      <c r="O392" s="24">
        <f t="shared" si="53"/>
        <v>5250000</v>
      </c>
      <c r="P392" t="s">
        <v>493</v>
      </c>
      <c r="Q392">
        <f t="shared" ca="1" si="54"/>
        <v>100000</v>
      </c>
      <c r="R392" t="s">
        <v>506</v>
      </c>
      <c r="S392">
        <v>1.91</v>
      </c>
      <c r="T392" s="20">
        <f t="shared" ca="1" si="55"/>
        <v>46296</v>
      </c>
      <c r="U392">
        <f t="shared" ca="1" si="51"/>
        <v>-458</v>
      </c>
      <c r="V392" t="str">
        <f t="shared" ca="1" si="56"/>
        <v>Pre contrato</v>
      </c>
      <c r="W392" s="34">
        <f t="shared" si="57"/>
        <v>2100000</v>
      </c>
      <c r="X392" s="34">
        <f t="shared" si="58"/>
        <v>4550000</v>
      </c>
    </row>
    <row r="393" spans="1:24">
      <c r="A393" t="s">
        <v>851</v>
      </c>
      <c r="B393" t="s">
        <v>314</v>
      </c>
      <c r="C393" t="s">
        <v>314</v>
      </c>
      <c r="D393" s="6" t="s">
        <v>305</v>
      </c>
      <c r="E393">
        <f t="shared" ca="1" si="52"/>
        <v>29</v>
      </c>
      <c r="F393" s="20">
        <v>35400</v>
      </c>
      <c r="G393" s="20">
        <v>45492</v>
      </c>
      <c r="H393" s="20">
        <v>46934</v>
      </c>
      <c r="I393" s="17">
        <v>300000</v>
      </c>
      <c r="J393" t="s">
        <v>852</v>
      </c>
      <c r="K393" s="6" t="s">
        <v>492</v>
      </c>
      <c r="L393">
        <v>0</v>
      </c>
      <c r="M393">
        <v>0</v>
      </c>
      <c r="N393" s="17">
        <v>2500000</v>
      </c>
      <c r="O393" s="24">
        <f t="shared" si="53"/>
        <v>8750000</v>
      </c>
      <c r="P393" t="s">
        <v>493</v>
      </c>
      <c r="Q393">
        <f t="shared" ca="1" si="54"/>
        <v>120000</v>
      </c>
      <c r="R393" t="s">
        <v>503</v>
      </c>
      <c r="S393">
        <v>1.9</v>
      </c>
      <c r="T393" s="20">
        <f t="shared" ca="1" si="55"/>
        <v>46296</v>
      </c>
      <c r="U393">
        <f t="shared" ca="1" si="51"/>
        <v>638</v>
      </c>
      <c r="V393" t="str">
        <f t="shared" ca="1" si="56"/>
        <v>Com Contrato em vigor</v>
      </c>
      <c r="W393" s="34">
        <f t="shared" si="57"/>
        <v>1800000</v>
      </c>
      <c r="X393" s="34">
        <f t="shared" si="58"/>
        <v>3900000</v>
      </c>
    </row>
    <row r="394" spans="1:24">
      <c r="A394" t="s">
        <v>853</v>
      </c>
      <c r="B394" t="s">
        <v>314</v>
      </c>
      <c r="C394" t="s">
        <v>314</v>
      </c>
      <c r="D394" s="6" t="s">
        <v>305</v>
      </c>
      <c r="E394">
        <f t="shared" ca="1" si="52"/>
        <v>37</v>
      </c>
      <c r="F394" s="20">
        <v>32756</v>
      </c>
      <c r="G394" s="20">
        <v>45016</v>
      </c>
      <c r="H394" s="20">
        <v>46022</v>
      </c>
      <c r="I394" s="17">
        <v>450000</v>
      </c>
      <c r="J394" t="s">
        <v>521</v>
      </c>
      <c r="K394" s="6" t="s">
        <v>492</v>
      </c>
      <c r="L394">
        <v>0</v>
      </c>
      <c r="M394">
        <v>0</v>
      </c>
      <c r="N394" s="17">
        <v>250000</v>
      </c>
      <c r="O394" s="24">
        <f t="shared" si="53"/>
        <v>875000</v>
      </c>
      <c r="P394" t="s">
        <v>493</v>
      </c>
      <c r="Q394">
        <f t="shared" ca="1" si="54"/>
        <v>100000</v>
      </c>
      <c r="R394" t="s">
        <v>503</v>
      </c>
      <c r="S394">
        <v>1.81</v>
      </c>
      <c r="T394" s="20">
        <f t="shared" ca="1" si="55"/>
        <v>46296</v>
      </c>
      <c r="U394">
        <f t="shared" ca="1" si="51"/>
        <v>-274</v>
      </c>
      <c r="V394" t="str">
        <f t="shared" ca="1" si="56"/>
        <v>Pre contrato</v>
      </c>
      <c r="W394" s="34">
        <f t="shared" si="57"/>
        <v>2700000</v>
      </c>
      <c r="X394" s="34">
        <f t="shared" si="58"/>
        <v>5850000</v>
      </c>
    </row>
    <row r="395" spans="1:24">
      <c r="A395" t="s">
        <v>854</v>
      </c>
      <c r="B395" t="s">
        <v>314</v>
      </c>
      <c r="C395" t="s">
        <v>314</v>
      </c>
      <c r="D395" s="6" t="s">
        <v>305</v>
      </c>
      <c r="E395">
        <f t="shared" ca="1" si="52"/>
        <v>36</v>
      </c>
      <c r="F395" s="20">
        <v>32930</v>
      </c>
      <c r="G395" s="20">
        <v>44300</v>
      </c>
      <c r="H395" s="20">
        <v>46022</v>
      </c>
      <c r="I395" s="17">
        <v>200000</v>
      </c>
      <c r="J395" t="s">
        <v>348</v>
      </c>
      <c r="K395" s="6" t="s">
        <v>492</v>
      </c>
      <c r="L395">
        <v>1</v>
      </c>
      <c r="M395">
        <v>20</v>
      </c>
      <c r="N395" s="17">
        <v>250000</v>
      </c>
      <c r="O395" s="24">
        <f t="shared" si="53"/>
        <v>875000</v>
      </c>
      <c r="P395" t="s">
        <v>493</v>
      </c>
      <c r="Q395">
        <f t="shared" ca="1" si="54"/>
        <v>100000</v>
      </c>
      <c r="R395" t="s">
        <v>506</v>
      </c>
      <c r="S395">
        <v>1.81</v>
      </c>
      <c r="T395" s="20">
        <f t="shared" ca="1" si="55"/>
        <v>46296</v>
      </c>
      <c r="U395">
        <f t="shared" ca="1" si="51"/>
        <v>-274</v>
      </c>
      <c r="V395" t="str">
        <f t="shared" ca="1" si="56"/>
        <v>Pre contrato</v>
      </c>
      <c r="W395" s="34">
        <f t="shared" si="57"/>
        <v>1200000</v>
      </c>
      <c r="X395" s="34">
        <f t="shared" si="58"/>
        <v>2600000</v>
      </c>
    </row>
    <row r="396" spans="1:24">
      <c r="A396" t="s">
        <v>855</v>
      </c>
      <c r="B396" t="s">
        <v>314</v>
      </c>
      <c r="C396" t="s">
        <v>314</v>
      </c>
      <c r="D396" s="6" t="s">
        <v>305</v>
      </c>
      <c r="E396">
        <f t="shared" ca="1" si="52"/>
        <v>39</v>
      </c>
      <c r="F396" s="20">
        <v>31918</v>
      </c>
      <c r="G396" s="20">
        <v>45546</v>
      </c>
      <c r="H396" s="20">
        <v>45838</v>
      </c>
      <c r="I396" s="17">
        <v>250000</v>
      </c>
      <c r="J396" t="s">
        <v>348</v>
      </c>
      <c r="K396" s="6" t="s">
        <v>492</v>
      </c>
      <c r="L396">
        <v>0</v>
      </c>
      <c r="M396">
        <v>0</v>
      </c>
      <c r="N396" s="17">
        <v>200000</v>
      </c>
      <c r="O396" s="24">
        <f t="shared" si="53"/>
        <v>700000</v>
      </c>
      <c r="P396" t="s">
        <v>493</v>
      </c>
      <c r="Q396">
        <f t="shared" ca="1" si="54"/>
        <v>100000</v>
      </c>
      <c r="R396" t="s">
        <v>506</v>
      </c>
      <c r="S396">
        <v>1.88</v>
      </c>
      <c r="T396" s="20">
        <f t="shared" ca="1" si="55"/>
        <v>46296</v>
      </c>
      <c r="U396">
        <f t="shared" ca="1" si="51"/>
        <v>-458</v>
      </c>
      <c r="V396" t="str">
        <f t="shared" ca="1" si="56"/>
        <v>Pre contrato</v>
      </c>
      <c r="W396" s="34">
        <f t="shared" si="57"/>
        <v>1500000</v>
      </c>
      <c r="X396" s="34">
        <f t="shared" si="58"/>
        <v>3250000</v>
      </c>
    </row>
    <row r="397" spans="1:24">
      <c r="A397" t="s">
        <v>856</v>
      </c>
      <c r="B397" t="s">
        <v>314</v>
      </c>
      <c r="C397" t="s">
        <v>314</v>
      </c>
      <c r="D397" s="6" t="s">
        <v>305</v>
      </c>
      <c r="E397">
        <f t="shared" ca="1" si="52"/>
        <v>38</v>
      </c>
      <c r="F397" s="20">
        <v>32275</v>
      </c>
      <c r="G397" s="20">
        <v>44981</v>
      </c>
      <c r="H397" s="20">
        <v>45657</v>
      </c>
      <c r="I397" s="17">
        <v>1200000</v>
      </c>
      <c r="J397" t="s">
        <v>348</v>
      </c>
      <c r="K397" s="6" t="s">
        <v>496</v>
      </c>
      <c r="L397">
        <v>1</v>
      </c>
      <c r="M397">
        <v>32</v>
      </c>
      <c r="N397" s="17">
        <v>1000000</v>
      </c>
      <c r="O397" s="24">
        <f t="shared" si="53"/>
        <v>3500000</v>
      </c>
      <c r="P397" t="s">
        <v>497</v>
      </c>
      <c r="Q397">
        <f t="shared" ca="1" si="54"/>
        <v>100000</v>
      </c>
      <c r="R397" t="s">
        <v>503</v>
      </c>
      <c r="S397">
        <v>1.74</v>
      </c>
      <c r="T397" s="20">
        <f t="shared" ca="1" si="55"/>
        <v>46296</v>
      </c>
      <c r="U397">
        <f t="shared" ca="1" si="51"/>
        <v>-639</v>
      </c>
      <c r="V397" t="str">
        <f t="shared" ca="1" si="56"/>
        <v>Pre contrato</v>
      </c>
      <c r="W397" s="34">
        <f t="shared" si="57"/>
        <v>7200000</v>
      </c>
      <c r="X397" s="34">
        <f t="shared" si="58"/>
        <v>15600000</v>
      </c>
    </row>
    <row r="398" spans="1:24">
      <c r="A398" t="s">
        <v>857</v>
      </c>
      <c r="B398" t="s">
        <v>314</v>
      </c>
      <c r="C398" t="s">
        <v>314</v>
      </c>
      <c r="D398" s="6" t="s">
        <v>305</v>
      </c>
      <c r="E398">
        <f t="shared" ca="1" si="52"/>
        <v>29</v>
      </c>
      <c r="F398" s="20">
        <v>35470</v>
      </c>
      <c r="G398" s="20">
        <v>45537</v>
      </c>
      <c r="H398" s="20">
        <v>46996</v>
      </c>
      <c r="I398" s="17">
        <v>250000</v>
      </c>
      <c r="J398" t="s">
        <v>858</v>
      </c>
      <c r="K398" s="6" t="s">
        <v>496</v>
      </c>
      <c r="L398">
        <v>0</v>
      </c>
      <c r="M398">
        <v>0</v>
      </c>
      <c r="N398" s="17">
        <v>6000000</v>
      </c>
      <c r="O398" s="24">
        <f t="shared" si="53"/>
        <v>21000000</v>
      </c>
      <c r="P398" t="s">
        <v>497</v>
      </c>
      <c r="Q398">
        <f t="shared" ca="1" si="54"/>
        <v>120000</v>
      </c>
      <c r="R398" t="s">
        <v>506</v>
      </c>
      <c r="S398">
        <v>1.8</v>
      </c>
      <c r="T398" s="20">
        <f t="shared" ca="1" si="55"/>
        <v>46296</v>
      </c>
      <c r="U398">
        <f t="shared" ca="1" si="51"/>
        <v>700</v>
      </c>
      <c r="V398" t="str">
        <f t="shared" ca="1" si="56"/>
        <v>Com Contrato em vigor</v>
      </c>
      <c r="W398" s="34">
        <f t="shared" si="57"/>
        <v>1500000</v>
      </c>
      <c r="X398" s="34">
        <f t="shared" si="58"/>
        <v>3250000</v>
      </c>
    </row>
    <row r="399" spans="1:24">
      <c r="A399" t="s">
        <v>859</v>
      </c>
      <c r="B399" t="s">
        <v>314</v>
      </c>
      <c r="C399" t="s">
        <v>314</v>
      </c>
      <c r="D399" s="6" t="s">
        <v>305</v>
      </c>
      <c r="E399">
        <f t="shared" ca="1" si="52"/>
        <v>34</v>
      </c>
      <c r="F399" s="20">
        <v>33833</v>
      </c>
      <c r="G399" s="20">
        <v>44981</v>
      </c>
      <c r="H399" s="20">
        <v>45657</v>
      </c>
      <c r="I399" s="17">
        <v>300000</v>
      </c>
      <c r="J399" t="s">
        <v>348</v>
      </c>
      <c r="K399" s="6" t="s">
        <v>496</v>
      </c>
      <c r="L399">
        <v>0</v>
      </c>
      <c r="M399">
        <v>0</v>
      </c>
      <c r="N399" s="17">
        <v>500000</v>
      </c>
      <c r="O399" s="24">
        <f t="shared" si="53"/>
        <v>1750000</v>
      </c>
      <c r="P399" t="s">
        <v>497</v>
      </c>
      <c r="Q399">
        <f t="shared" ca="1" si="54"/>
        <v>100000</v>
      </c>
      <c r="R399" t="s">
        <v>506</v>
      </c>
      <c r="S399">
        <v>1.78</v>
      </c>
      <c r="T399" s="20">
        <f t="shared" ca="1" si="55"/>
        <v>46296</v>
      </c>
      <c r="U399">
        <f t="shared" ca="1" si="51"/>
        <v>-639</v>
      </c>
      <c r="V399" t="str">
        <f t="shared" ca="1" si="56"/>
        <v>Pre contrato</v>
      </c>
      <c r="W399" s="34">
        <f t="shared" si="57"/>
        <v>1800000</v>
      </c>
      <c r="X399" s="34">
        <f t="shared" si="58"/>
        <v>3900000</v>
      </c>
    </row>
    <row r="400" spans="1:24">
      <c r="A400" t="s">
        <v>860</v>
      </c>
      <c r="B400" t="s">
        <v>314</v>
      </c>
      <c r="C400" t="s">
        <v>314</v>
      </c>
      <c r="D400" s="6" t="s">
        <v>305</v>
      </c>
      <c r="E400">
        <f t="shared" ca="1" si="52"/>
        <v>28</v>
      </c>
      <c r="F400" s="20">
        <v>36036</v>
      </c>
      <c r="G400" s="20">
        <v>44927</v>
      </c>
      <c r="H400" s="20">
        <v>46387</v>
      </c>
      <c r="I400" s="17">
        <v>350000</v>
      </c>
      <c r="J400" t="s">
        <v>357</v>
      </c>
      <c r="K400" s="6" t="s">
        <v>498</v>
      </c>
      <c r="L400">
        <v>4</v>
      </c>
      <c r="M400">
        <v>24</v>
      </c>
      <c r="N400" s="17">
        <v>5000000</v>
      </c>
      <c r="O400" s="24">
        <f t="shared" si="53"/>
        <v>17500000</v>
      </c>
      <c r="P400" t="s">
        <v>493</v>
      </c>
      <c r="Q400">
        <f t="shared" ca="1" si="54"/>
        <v>120000</v>
      </c>
      <c r="R400" t="s">
        <v>506</v>
      </c>
      <c r="S400">
        <v>1.73</v>
      </c>
      <c r="T400" s="20">
        <f t="shared" ca="1" si="55"/>
        <v>46296</v>
      </c>
      <c r="U400">
        <f t="shared" ca="1" si="51"/>
        <v>91</v>
      </c>
      <c r="V400" t="str">
        <f t="shared" ca="1" si="56"/>
        <v>Pre contrato</v>
      </c>
      <c r="W400" s="34">
        <f t="shared" si="57"/>
        <v>2100000</v>
      </c>
      <c r="X400" s="34">
        <f t="shared" si="58"/>
        <v>4550000</v>
      </c>
    </row>
    <row r="401" spans="1:24">
      <c r="A401" t="s">
        <v>861</v>
      </c>
      <c r="B401" t="s">
        <v>314</v>
      </c>
      <c r="C401" t="s">
        <v>314</v>
      </c>
      <c r="D401" s="6" t="s">
        <v>305</v>
      </c>
      <c r="E401">
        <f t="shared" ca="1" si="52"/>
        <v>24</v>
      </c>
      <c r="F401" s="20">
        <v>37314</v>
      </c>
      <c r="G401" s="20">
        <v>45500</v>
      </c>
      <c r="H401" s="20">
        <v>45838</v>
      </c>
      <c r="I401" s="17">
        <v>250000</v>
      </c>
      <c r="J401" t="s">
        <v>352</v>
      </c>
      <c r="K401" s="6" t="s">
        <v>498</v>
      </c>
      <c r="L401">
        <v>0</v>
      </c>
      <c r="M401">
        <v>0</v>
      </c>
      <c r="N401" s="17">
        <v>4500000</v>
      </c>
      <c r="O401" s="24">
        <f t="shared" si="53"/>
        <v>15750000</v>
      </c>
      <c r="P401" t="s">
        <v>493</v>
      </c>
      <c r="Q401">
        <f t="shared" ca="1" si="54"/>
        <v>160000</v>
      </c>
      <c r="R401" t="s">
        <v>506</v>
      </c>
      <c r="S401">
        <v>1.71</v>
      </c>
      <c r="T401" s="20">
        <f t="shared" ca="1" si="55"/>
        <v>46296</v>
      </c>
      <c r="U401">
        <f t="shared" ca="1" si="51"/>
        <v>-458</v>
      </c>
      <c r="V401" t="str">
        <f t="shared" ca="1" si="56"/>
        <v>Pre contrato</v>
      </c>
      <c r="W401" s="34">
        <f t="shared" si="57"/>
        <v>1500000</v>
      </c>
      <c r="X401" s="34">
        <f t="shared" si="58"/>
        <v>3250000</v>
      </c>
    </row>
    <row r="402" spans="1:24">
      <c r="A402" t="s">
        <v>862</v>
      </c>
      <c r="B402" t="s">
        <v>314</v>
      </c>
      <c r="C402" t="s">
        <v>314</v>
      </c>
      <c r="D402" s="6" t="s">
        <v>305</v>
      </c>
      <c r="E402">
        <f t="shared" ca="1" si="52"/>
        <v>36</v>
      </c>
      <c r="F402" s="20">
        <v>33030</v>
      </c>
      <c r="G402" s="20">
        <v>44260</v>
      </c>
      <c r="H402" s="20">
        <v>46022</v>
      </c>
      <c r="I402" s="17">
        <v>350000</v>
      </c>
      <c r="J402" t="s">
        <v>863</v>
      </c>
      <c r="K402" s="6" t="s">
        <v>498</v>
      </c>
      <c r="L402">
        <v>0</v>
      </c>
      <c r="M402">
        <v>0</v>
      </c>
      <c r="N402" s="17">
        <v>700000</v>
      </c>
      <c r="O402" s="24">
        <f t="shared" si="53"/>
        <v>2450000</v>
      </c>
      <c r="P402" t="s">
        <v>493</v>
      </c>
      <c r="Q402">
        <f t="shared" ca="1" si="54"/>
        <v>100000</v>
      </c>
      <c r="R402" t="s">
        <v>506</v>
      </c>
      <c r="S402">
        <v>1.66</v>
      </c>
      <c r="T402" s="20">
        <f t="shared" ca="1" si="55"/>
        <v>46296</v>
      </c>
      <c r="U402">
        <f t="shared" ca="1" si="51"/>
        <v>-274</v>
      </c>
      <c r="V402" t="str">
        <f t="shared" ca="1" si="56"/>
        <v>Pre contrato</v>
      </c>
      <c r="W402" s="34">
        <f t="shared" si="57"/>
        <v>2100000</v>
      </c>
      <c r="X402" s="34">
        <f t="shared" si="58"/>
        <v>4550000</v>
      </c>
    </row>
    <row r="403" spans="1:24">
      <c r="A403" t="s">
        <v>864</v>
      </c>
      <c r="B403" t="s">
        <v>314</v>
      </c>
      <c r="C403" t="s">
        <v>314</v>
      </c>
      <c r="D403" s="6" t="s">
        <v>305</v>
      </c>
      <c r="E403">
        <f t="shared" ca="1" si="52"/>
        <v>25</v>
      </c>
      <c r="F403" s="20">
        <v>37088</v>
      </c>
      <c r="G403" s="20">
        <v>44256</v>
      </c>
      <c r="H403" s="20">
        <v>46996</v>
      </c>
      <c r="I403" s="17">
        <v>950000</v>
      </c>
      <c r="J403" t="s">
        <v>401</v>
      </c>
      <c r="K403" s="6" t="s">
        <v>494</v>
      </c>
      <c r="L403">
        <v>1</v>
      </c>
      <c r="M403">
        <v>40</v>
      </c>
      <c r="N403" s="17">
        <v>45000000</v>
      </c>
      <c r="O403" s="24">
        <f t="shared" si="53"/>
        <v>157500000</v>
      </c>
      <c r="P403" t="s">
        <v>493</v>
      </c>
      <c r="Q403">
        <f t="shared" ca="1" si="54"/>
        <v>120000</v>
      </c>
      <c r="R403" t="s">
        <v>506</v>
      </c>
      <c r="S403">
        <v>1.76</v>
      </c>
      <c r="T403" s="20">
        <f t="shared" ca="1" si="55"/>
        <v>46296</v>
      </c>
      <c r="U403">
        <f t="shared" ca="1" si="51"/>
        <v>700</v>
      </c>
      <c r="V403" t="str">
        <f t="shared" ca="1" si="56"/>
        <v>Com Contrato em vigor</v>
      </c>
      <c r="W403" s="34">
        <f t="shared" si="57"/>
        <v>5700000</v>
      </c>
      <c r="X403" s="34">
        <f t="shared" si="58"/>
        <v>12350000</v>
      </c>
    </row>
    <row r="404" spans="1:24">
      <c r="A404" t="s">
        <v>865</v>
      </c>
      <c r="B404" t="s">
        <v>314</v>
      </c>
      <c r="C404" t="s">
        <v>314</v>
      </c>
      <c r="D404" s="6" t="s">
        <v>305</v>
      </c>
      <c r="E404">
        <f t="shared" ca="1" si="52"/>
        <v>33</v>
      </c>
      <c r="F404" s="20">
        <v>34230</v>
      </c>
      <c r="G404" s="20">
        <v>45311</v>
      </c>
      <c r="H404" s="20">
        <v>46387</v>
      </c>
      <c r="I404" s="17">
        <v>250000</v>
      </c>
      <c r="J404" t="s">
        <v>866</v>
      </c>
      <c r="K404" s="6" t="s">
        <v>494</v>
      </c>
      <c r="L404">
        <v>0</v>
      </c>
      <c r="M404">
        <v>0</v>
      </c>
      <c r="N404" s="17">
        <v>3000000</v>
      </c>
      <c r="O404" s="24">
        <f t="shared" si="53"/>
        <v>10500000</v>
      </c>
      <c r="P404" t="s">
        <v>493</v>
      </c>
      <c r="Q404">
        <f t="shared" ca="1" si="54"/>
        <v>100000</v>
      </c>
      <c r="R404" t="s">
        <v>506</v>
      </c>
      <c r="S404">
        <v>1.87</v>
      </c>
      <c r="T404" s="20">
        <f t="shared" ca="1" si="55"/>
        <v>46296</v>
      </c>
      <c r="U404">
        <f t="shared" ca="1" si="51"/>
        <v>91</v>
      </c>
      <c r="V404" t="str">
        <f t="shared" ca="1" si="56"/>
        <v>Pre contrato</v>
      </c>
      <c r="W404" s="34">
        <f t="shared" si="57"/>
        <v>1500000</v>
      </c>
      <c r="X404" s="34">
        <f t="shared" si="58"/>
        <v>3250000</v>
      </c>
    </row>
    <row r="405" spans="1:24">
      <c r="A405" t="s">
        <v>867</v>
      </c>
      <c r="B405" t="s">
        <v>314</v>
      </c>
      <c r="C405" t="s">
        <v>314</v>
      </c>
      <c r="D405" s="6" t="s">
        <v>305</v>
      </c>
      <c r="E405">
        <f t="shared" ca="1" si="52"/>
        <v>43</v>
      </c>
      <c r="F405" s="20">
        <v>30493</v>
      </c>
      <c r="G405" s="20">
        <v>44562</v>
      </c>
      <c r="H405" s="20">
        <v>45657</v>
      </c>
      <c r="I405" s="17">
        <v>1000000</v>
      </c>
      <c r="J405" t="s">
        <v>571</v>
      </c>
      <c r="K405" s="6" t="s">
        <v>494</v>
      </c>
      <c r="L405">
        <v>1</v>
      </c>
      <c r="M405">
        <v>50</v>
      </c>
      <c r="N405" s="17">
        <v>250000</v>
      </c>
      <c r="O405" s="24">
        <f t="shared" si="53"/>
        <v>875000</v>
      </c>
      <c r="P405" t="s">
        <v>493</v>
      </c>
      <c r="Q405">
        <f t="shared" ca="1" si="54"/>
        <v>100000</v>
      </c>
      <c r="R405" t="s">
        <v>506</v>
      </c>
      <c r="S405">
        <v>1.83</v>
      </c>
      <c r="T405" s="20">
        <f t="shared" ca="1" si="55"/>
        <v>46296</v>
      </c>
      <c r="U405">
        <f t="shared" ca="1" si="51"/>
        <v>-639</v>
      </c>
      <c r="V405" t="str">
        <f t="shared" ca="1" si="56"/>
        <v>Pre contrato</v>
      </c>
      <c r="W405" s="34">
        <f t="shared" si="57"/>
        <v>6000000</v>
      </c>
      <c r="X405" s="34">
        <f t="shared" si="58"/>
        <v>13000000</v>
      </c>
    </row>
    <row r="406" spans="1:24">
      <c r="A406" t="s">
        <v>868</v>
      </c>
      <c r="B406" t="s">
        <v>314</v>
      </c>
      <c r="C406" t="s">
        <v>314</v>
      </c>
      <c r="D406" s="6" t="s">
        <v>305</v>
      </c>
      <c r="E406">
        <f t="shared" ca="1" si="52"/>
        <v>24</v>
      </c>
      <c r="F406" s="20">
        <v>37169</v>
      </c>
      <c r="G406" s="20">
        <v>44013</v>
      </c>
      <c r="H406" s="20">
        <v>46387</v>
      </c>
      <c r="I406" s="17">
        <v>400000</v>
      </c>
      <c r="J406" t="s">
        <v>651</v>
      </c>
      <c r="K406" s="6" t="s">
        <v>499</v>
      </c>
      <c r="L406">
        <v>3</v>
      </c>
      <c r="M406">
        <v>42</v>
      </c>
      <c r="N406" s="17">
        <v>12000000</v>
      </c>
      <c r="O406" s="24">
        <f t="shared" si="53"/>
        <v>42000000</v>
      </c>
      <c r="P406" t="s">
        <v>493</v>
      </c>
      <c r="Q406">
        <f t="shared" ca="1" si="54"/>
        <v>160000</v>
      </c>
      <c r="R406" t="s">
        <v>506</v>
      </c>
      <c r="S406">
        <v>1.76</v>
      </c>
      <c r="T406" s="20">
        <f t="shared" ca="1" si="55"/>
        <v>46296</v>
      </c>
      <c r="U406">
        <f t="shared" ca="1" si="51"/>
        <v>91</v>
      </c>
      <c r="V406" t="str">
        <f t="shared" ca="1" si="56"/>
        <v>Pre contrato</v>
      </c>
      <c r="W406" s="34">
        <f t="shared" si="57"/>
        <v>2400000</v>
      </c>
      <c r="X406" s="34">
        <f t="shared" si="58"/>
        <v>5200000</v>
      </c>
    </row>
    <row r="407" spans="1:24">
      <c r="A407" t="s">
        <v>869</v>
      </c>
      <c r="B407" t="s">
        <v>314</v>
      </c>
      <c r="C407" t="s">
        <v>314</v>
      </c>
      <c r="D407" s="6" t="s">
        <v>305</v>
      </c>
      <c r="E407">
        <f t="shared" ca="1" si="52"/>
        <v>38</v>
      </c>
      <c r="F407" s="20">
        <v>32181</v>
      </c>
      <c r="G407" s="20">
        <v>45296</v>
      </c>
      <c r="H407" s="20">
        <v>46022</v>
      </c>
      <c r="I407" s="17">
        <v>750000</v>
      </c>
      <c r="J407" t="s">
        <v>401</v>
      </c>
      <c r="K407" s="6" t="s">
        <v>499</v>
      </c>
      <c r="L407">
        <v>0</v>
      </c>
      <c r="M407">
        <v>0</v>
      </c>
      <c r="N407" s="17">
        <v>1200000</v>
      </c>
      <c r="O407" s="24">
        <f t="shared" si="53"/>
        <v>4200000</v>
      </c>
      <c r="P407" t="s">
        <v>493</v>
      </c>
      <c r="Q407">
        <f t="shared" ca="1" si="54"/>
        <v>100000</v>
      </c>
      <c r="R407" t="s">
        <v>507</v>
      </c>
      <c r="S407">
        <v>1.86</v>
      </c>
      <c r="T407" s="20">
        <f t="shared" ca="1" si="55"/>
        <v>46296</v>
      </c>
      <c r="U407">
        <f t="shared" ref="U407:U421" ca="1" si="59">_xlfn.DAYS(H407,T407)</f>
        <v>-274</v>
      </c>
      <c r="V407" t="str">
        <f t="shared" ca="1" si="56"/>
        <v>Pre contrato</v>
      </c>
      <c r="W407" s="34">
        <f t="shared" si="57"/>
        <v>4500000</v>
      </c>
      <c r="X407" s="34">
        <f t="shared" si="58"/>
        <v>9750000</v>
      </c>
    </row>
    <row r="408" spans="1:24">
      <c r="A408" t="s">
        <v>870</v>
      </c>
      <c r="B408" t="s">
        <v>314</v>
      </c>
      <c r="C408" t="s">
        <v>314</v>
      </c>
      <c r="D408" s="6" t="s">
        <v>305</v>
      </c>
      <c r="E408">
        <f t="shared" ca="1" si="52"/>
        <v>28</v>
      </c>
      <c r="F408" s="20">
        <v>35857</v>
      </c>
      <c r="G408" s="20">
        <v>45491</v>
      </c>
      <c r="H408" s="20">
        <v>46387</v>
      </c>
      <c r="I408" s="17">
        <v>500000</v>
      </c>
      <c r="J408" t="s">
        <v>364</v>
      </c>
      <c r="K408" s="6" t="s">
        <v>499</v>
      </c>
      <c r="L408">
        <v>0</v>
      </c>
      <c r="M408">
        <v>0</v>
      </c>
      <c r="N408" s="17">
        <v>3000000</v>
      </c>
      <c r="O408" s="24">
        <f t="shared" si="53"/>
        <v>10500000</v>
      </c>
      <c r="P408" t="s">
        <v>493</v>
      </c>
      <c r="Q408">
        <f t="shared" ca="1" si="54"/>
        <v>120000</v>
      </c>
      <c r="R408" t="s">
        <v>503</v>
      </c>
      <c r="S408">
        <v>1.75</v>
      </c>
      <c r="T408" s="20">
        <f t="shared" ca="1" si="55"/>
        <v>46296</v>
      </c>
      <c r="U408">
        <f t="shared" ca="1" si="59"/>
        <v>91</v>
      </c>
      <c r="V408" t="str">
        <f t="shared" ca="1" si="56"/>
        <v>Pre contrato</v>
      </c>
      <c r="W408" s="34">
        <f t="shared" si="57"/>
        <v>3000000</v>
      </c>
      <c r="X408" s="34">
        <f t="shared" si="58"/>
        <v>6500000</v>
      </c>
    </row>
    <row r="409" spans="1:24">
      <c r="A409" t="s">
        <v>871</v>
      </c>
      <c r="B409" t="s">
        <v>314</v>
      </c>
      <c r="C409" t="s">
        <v>314</v>
      </c>
      <c r="D409" s="6" t="s">
        <v>319</v>
      </c>
      <c r="E409">
        <f t="shared" ca="1" si="52"/>
        <v>32</v>
      </c>
      <c r="F409" s="20">
        <v>34557</v>
      </c>
      <c r="G409" s="20">
        <v>45315</v>
      </c>
      <c r="H409" s="20">
        <v>46022</v>
      </c>
      <c r="I409" s="17">
        <v>400000</v>
      </c>
      <c r="J409" t="s">
        <v>872</v>
      </c>
      <c r="K409" s="6" t="s">
        <v>499</v>
      </c>
      <c r="L409">
        <v>0</v>
      </c>
      <c r="M409">
        <v>0</v>
      </c>
      <c r="N409" s="17">
        <v>4500000</v>
      </c>
      <c r="O409" s="24">
        <f t="shared" si="53"/>
        <v>15750000</v>
      </c>
      <c r="P409" t="s">
        <v>497</v>
      </c>
      <c r="Q409">
        <f t="shared" ca="1" si="54"/>
        <v>100000</v>
      </c>
      <c r="R409" t="s">
        <v>505</v>
      </c>
      <c r="S409">
        <v>1.76</v>
      </c>
      <c r="T409" s="20">
        <f t="shared" ca="1" si="55"/>
        <v>46296</v>
      </c>
      <c r="U409">
        <f t="shared" ca="1" si="59"/>
        <v>-274</v>
      </c>
      <c r="V409" t="str">
        <f t="shared" ca="1" si="56"/>
        <v>Pre contrato</v>
      </c>
      <c r="W409" s="34">
        <f t="shared" si="57"/>
        <v>2400000</v>
      </c>
      <c r="X409" s="34">
        <f t="shared" si="58"/>
        <v>5200000</v>
      </c>
    </row>
    <row r="410" spans="1:24">
      <c r="A410" t="s">
        <v>873</v>
      </c>
      <c r="B410" t="s">
        <v>314</v>
      </c>
      <c r="C410" t="s">
        <v>314</v>
      </c>
      <c r="D410" s="6" t="s">
        <v>305</v>
      </c>
      <c r="E410">
        <f t="shared" ca="1" si="52"/>
        <v>30</v>
      </c>
      <c r="F410" s="20">
        <v>35075</v>
      </c>
      <c r="G410" s="20">
        <v>45486</v>
      </c>
      <c r="H410" s="20">
        <v>46022</v>
      </c>
      <c r="I410" s="17">
        <v>250000</v>
      </c>
      <c r="J410" t="s">
        <v>588</v>
      </c>
      <c r="K410" s="6" t="s">
        <v>499</v>
      </c>
      <c r="L410">
        <v>1</v>
      </c>
      <c r="M410">
        <v>13</v>
      </c>
      <c r="N410" s="17">
        <v>3000000</v>
      </c>
      <c r="O410" s="24">
        <f t="shared" si="53"/>
        <v>10500000</v>
      </c>
      <c r="P410" t="s">
        <v>493</v>
      </c>
      <c r="Q410">
        <f t="shared" ca="1" si="54"/>
        <v>120000</v>
      </c>
      <c r="R410" t="s">
        <v>506</v>
      </c>
      <c r="S410">
        <v>1.73</v>
      </c>
      <c r="T410" s="20">
        <f t="shared" ca="1" si="55"/>
        <v>46296</v>
      </c>
      <c r="U410">
        <f t="shared" ca="1" si="59"/>
        <v>-274</v>
      </c>
      <c r="V410" t="str">
        <f t="shared" ca="1" si="56"/>
        <v>Pre contrato</v>
      </c>
      <c r="W410" s="34">
        <f t="shared" si="57"/>
        <v>1500000</v>
      </c>
      <c r="X410" s="34">
        <f t="shared" si="58"/>
        <v>3250000</v>
      </c>
    </row>
    <row r="411" spans="1:24">
      <c r="A411" t="s">
        <v>874</v>
      </c>
      <c r="B411" t="s">
        <v>314</v>
      </c>
      <c r="C411" t="s">
        <v>314</v>
      </c>
      <c r="D411" s="6" t="s">
        <v>305</v>
      </c>
      <c r="E411">
        <f t="shared" ca="1" si="52"/>
        <v>30</v>
      </c>
      <c r="F411" s="20">
        <v>35227</v>
      </c>
      <c r="G411" s="20">
        <v>44927</v>
      </c>
      <c r="H411" s="20">
        <v>46022</v>
      </c>
      <c r="I411" s="17">
        <v>450000</v>
      </c>
      <c r="J411" t="s">
        <v>400</v>
      </c>
      <c r="K411" s="6" t="s">
        <v>499</v>
      </c>
      <c r="L411">
        <v>0</v>
      </c>
      <c r="M411">
        <v>0</v>
      </c>
      <c r="N411" s="17">
        <v>5500000</v>
      </c>
      <c r="O411" s="24">
        <f t="shared" si="53"/>
        <v>19250000</v>
      </c>
      <c r="P411" t="s">
        <v>493</v>
      </c>
      <c r="Q411">
        <f t="shared" ca="1" si="54"/>
        <v>120000</v>
      </c>
      <c r="R411" t="s">
        <v>506</v>
      </c>
      <c r="S411">
        <v>1.81</v>
      </c>
      <c r="T411" s="20">
        <f t="shared" ca="1" si="55"/>
        <v>46296</v>
      </c>
      <c r="U411">
        <f t="shared" ca="1" si="59"/>
        <v>-274</v>
      </c>
      <c r="V411" t="str">
        <f t="shared" ca="1" si="56"/>
        <v>Pre contrato</v>
      </c>
      <c r="W411" s="34">
        <f t="shared" si="57"/>
        <v>2700000</v>
      </c>
      <c r="X411" s="34">
        <f t="shared" si="58"/>
        <v>5850000</v>
      </c>
    </row>
    <row r="412" spans="1:24">
      <c r="A412" t="s">
        <v>875</v>
      </c>
      <c r="B412" t="s">
        <v>314</v>
      </c>
      <c r="C412" t="s">
        <v>314</v>
      </c>
      <c r="D412" s="6" t="s">
        <v>305</v>
      </c>
      <c r="E412">
        <f t="shared" ca="1" si="52"/>
        <v>36</v>
      </c>
      <c r="F412" s="20">
        <v>32793</v>
      </c>
      <c r="G412" s="20">
        <v>43496</v>
      </c>
      <c r="H412" s="20">
        <v>46022</v>
      </c>
      <c r="I412" s="17">
        <v>950000</v>
      </c>
      <c r="J412" t="s">
        <v>876</v>
      </c>
      <c r="K412" s="6" t="s">
        <v>499</v>
      </c>
      <c r="L412">
        <v>3</v>
      </c>
      <c r="M412">
        <v>75</v>
      </c>
      <c r="N412" s="17">
        <v>1500000</v>
      </c>
      <c r="O412" s="24">
        <f t="shared" si="53"/>
        <v>5250000</v>
      </c>
      <c r="P412" t="s">
        <v>497</v>
      </c>
      <c r="Q412">
        <f t="shared" ca="1" si="54"/>
        <v>100000</v>
      </c>
      <c r="R412" t="s">
        <v>506</v>
      </c>
      <c r="S412">
        <v>1.84</v>
      </c>
      <c r="T412" s="20">
        <f t="shared" ca="1" si="55"/>
        <v>46296</v>
      </c>
      <c r="U412">
        <f t="shared" ca="1" si="59"/>
        <v>-274</v>
      </c>
      <c r="V412" t="str">
        <f t="shared" ca="1" si="56"/>
        <v>Pre contrato</v>
      </c>
      <c r="W412" s="34">
        <f t="shared" si="57"/>
        <v>5700000</v>
      </c>
      <c r="X412" s="34">
        <f t="shared" si="58"/>
        <v>12350000</v>
      </c>
    </row>
    <row r="413" spans="1:24">
      <c r="A413" t="s">
        <v>877</v>
      </c>
      <c r="B413" t="s">
        <v>314</v>
      </c>
      <c r="C413" t="s">
        <v>314</v>
      </c>
      <c r="D413" s="6" t="s">
        <v>305</v>
      </c>
      <c r="E413">
        <f t="shared" ca="1" si="52"/>
        <v>37</v>
      </c>
      <c r="F413" s="20">
        <v>32761</v>
      </c>
      <c r="G413" s="20">
        <v>44927</v>
      </c>
      <c r="H413" s="20">
        <v>46022</v>
      </c>
      <c r="I413" s="17">
        <v>650000</v>
      </c>
      <c r="J413" t="s">
        <v>386</v>
      </c>
      <c r="K413" s="6" t="s">
        <v>500</v>
      </c>
      <c r="L413">
        <v>0</v>
      </c>
      <c r="M413">
        <v>0</v>
      </c>
      <c r="N413" s="17">
        <v>1500000</v>
      </c>
      <c r="O413" s="24">
        <f t="shared" si="53"/>
        <v>5250000</v>
      </c>
      <c r="P413" t="s">
        <v>493</v>
      </c>
      <c r="Q413">
        <f t="shared" ca="1" si="54"/>
        <v>100000</v>
      </c>
      <c r="R413" t="s">
        <v>506</v>
      </c>
      <c r="S413">
        <v>1.74</v>
      </c>
      <c r="T413" s="20">
        <f t="shared" ca="1" si="55"/>
        <v>46296</v>
      </c>
      <c r="U413">
        <f t="shared" ca="1" si="59"/>
        <v>-274</v>
      </c>
      <c r="V413" t="str">
        <f t="shared" ca="1" si="56"/>
        <v>Pre contrato</v>
      </c>
      <c r="W413" s="34">
        <f t="shared" si="57"/>
        <v>3900000</v>
      </c>
      <c r="X413" s="34">
        <f t="shared" si="58"/>
        <v>8450000</v>
      </c>
    </row>
    <row r="414" spans="1:24">
      <c r="A414" t="s">
        <v>878</v>
      </c>
      <c r="B414" t="s">
        <v>314</v>
      </c>
      <c r="C414" t="s">
        <v>314</v>
      </c>
      <c r="D414" s="6" t="s">
        <v>305</v>
      </c>
      <c r="E414">
        <f t="shared" ca="1" si="52"/>
        <v>25</v>
      </c>
      <c r="F414" s="20">
        <v>37150</v>
      </c>
      <c r="G414" s="20">
        <v>45538</v>
      </c>
      <c r="H414" s="20">
        <v>46630</v>
      </c>
      <c r="I414" s="17">
        <v>250000</v>
      </c>
      <c r="J414" t="s">
        <v>844</v>
      </c>
      <c r="K414" s="6" t="s">
        <v>500</v>
      </c>
      <c r="L414">
        <v>0</v>
      </c>
      <c r="M414">
        <v>0</v>
      </c>
      <c r="N414" s="17">
        <v>1000000</v>
      </c>
      <c r="O414" s="24">
        <f t="shared" si="53"/>
        <v>3500000</v>
      </c>
      <c r="P414" t="s">
        <v>493</v>
      </c>
      <c r="Q414">
        <f t="shared" ca="1" si="54"/>
        <v>120000</v>
      </c>
      <c r="R414" t="s">
        <v>503</v>
      </c>
      <c r="S414">
        <v>1.84</v>
      </c>
      <c r="T414" s="20">
        <f t="shared" ca="1" si="55"/>
        <v>46296</v>
      </c>
      <c r="U414">
        <f t="shared" ca="1" si="59"/>
        <v>334</v>
      </c>
      <c r="V414" t="str">
        <f t="shared" ca="1" si="56"/>
        <v>Com Contrato em vigor</v>
      </c>
      <c r="W414" s="34">
        <f t="shared" si="57"/>
        <v>1500000</v>
      </c>
      <c r="X414" s="34">
        <f t="shared" si="58"/>
        <v>3250000</v>
      </c>
    </row>
    <row r="415" spans="1:24">
      <c r="A415" t="s">
        <v>879</v>
      </c>
      <c r="B415" t="s">
        <v>314</v>
      </c>
      <c r="C415" t="s">
        <v>880</v>
      </c>
      <c r="D415" s="6" t="s">
        <v>305</v>
      </c>
      <c r="E415">
        <f t="shared" ca="1" si="52"/>
        <v>23</v>
      </c>
      <c r="F415" s="20">
        <v>37718</v>
      </c>
      <c r="G415" s="20">
        <v>45296</v>
      </c>
      <c r="H415" s="20">
        <v>45657</v>
      </c>
      <c r="I415" s="17">
        <v>650000</v>
      </c>
      <c r="J415" t="s">
        <v>464</v>
      </c>
      <c r="K415" s="6" t="s">
        <v>500</v>
      </c>
      <c r="L415">
        <v>0</v>
      </c>
      <c r="M415">
        <v>0</v>
      </c>
      <c r="N415" s="17">
        <v>12000000</v>
      </c>
      <c r="O415" s="24">
        <f t="shared" si="53"/>
        <v>42000000</v>
      </c>
      <c r="P415" t="s">
        <v>497</v>
      </c>
      <c r="Q415">
        <f t="shared" ca="1" si="54"/>
        <v>160000</v>
      </c>
      <c r="R415" t="s">
        <v>506</v>
      </c>
      <c r="S415">
        <v>1.75</v>
      </c>
      <c r="T415" s="20">
        <f t="shared" ca="1" si="55"/>
        <v>46296</v>
      </c>
      <c r="U415">
        <f t="shared" ca="1" si="59"/>
        <v>-639</v>
      </c>
      <c r="V415" t="str">
        <f t="shared" ca="1" si="56"/>
        <v>Pre contrato</v>
      </c>
      <c r="W415" s="34">
        <f t="shared" si="57"/>
        <v>3900000</v>
      </c>
      <c r="X415" s="34">
        <f t="shared" si="58"/>
        <v>8450000</v>
      </c>
    </row>
    <row r="416" spans="1:24">
      <c r="A416" t="s">
        <v>881</v>
      </c>
      <c r="B416" t="s">
        <v>314</v>
      </c>
      <c r="C416" t="s">
        <v>314</v>
      </c>
      <c r="D416" s="6" t="s">
        <v>318</v>
      </c>
      <c r="E416">
        <f t="shared" ca="1" si="52"/>
        <v>29</v>
      </c>
      <c r="F416" s="20">
        <v>35694</v>
      </c>
      <c r="G416" s="20">
        <v>44426</v>
      </c>
      <c r="H416" s="20">
        <v>46934</v>
      </c>
      <c r="I416" s="17">
        <v>1200000</v>
      </c>
      <c r="J416" t="s">
        <v>664</v>
      </c>
      <c r="K416" s="6" t="s">
        <v>500</v>
      </c>
      <c r="L416">
        <v>0</v>
      </c>
      <c r="M416">
        <v>0</v>
      </c>
      <c r="N416" s="17">
        <v>30000000</v>
      </c>
      <c r="O416" s="24">
        <f t="shared" si="53"/>
        <v>105000000</v>
      </c>
      <c r="P416" t="s">
        <v>493</v>
      </c>
      <c r="Q416">
        <f t="shared" ca="1" si="54"/>
        <v>120000</v>
      </c>
      <c r="R416" t="s">
        <v>503</v>
      </c>
      <c r="S416">
        <v>1.68</v>
      </c>
      <c r="T416" s="20">
        <f t="shared" ca="1" si="55"/>
        <v>46296</v>
      </c>
      <c r="U416">
        <f t="shared" ca="1" si="59"/>
        <v>638</v>
      </c>
      <c r="V416" t="str">
        <f t="shared" ca="1" si="56"/>
        <v>Com Contrato em vigor</v>
      </c>
      <c r="W416" s="34">
        <f t="shared" si="57"/>
        <v>7200000</v>
      </c>
      <c r="X416" s="34">
        <f t="shared" si="58"/>
        <v>15600000</v>
      </c>
    </row>
    <row r="417" spans="1:24">
      <c r="A417" t="s">
        <v>882</v>
      </c>
      <c r="B417" t="s">
        <v>314</v>
      </c>
      <c r="C417" t="s">
        <v>314</v>
      </c>
      <c r="D417" s="6" t="s">
        <v>305</v>
      </c>
      <c r="E417">
        <f t="shared" ca="1" si="52"/>
        <v>32</v>
      </c>
      <c r="F417" s="20">
        <v>34526</v>
      </c>
      <c r="G417" s="20">
        <v>45527</v>
      </c>
      <c r="H417" s="20">
        <v>45900</v>
      </c>
      <c r="I417" s="17">
        <v>600000</v>
      </c>
      <c r="J417" t="s">
        <v>883</v>
      </c>
      <c r="K417" s="6" t="s">
        <v>500</v>
      </c>
      <c r="L417">
        <v>0</v>
      </c>
      <c r="M417">
        <v>0</v>
      </c>
      <c r="N417" s="17">
        <v>500000</v>
      </c>
      <c r="O417" s="24">
        <f t="shared" si="53"/>
        <v>1750000</v>
      </c>
      <c r="P417" t="s">
        <v>493</v>
      </c>
      <c r="Q417">
        <f t="shared" ca="1" si="54"/>
        <v>100000</v>
      </c>
      <c r="R417" t="s">
        <v>503</v>
      </c>
      <c r="S417">
        <v>1.84</v>
      </c>
      <c r="T417" s="20">
        <f t="shared" ca="1" si="55"/>
        <v>46296</v>
      </c>
      <c r="U417">
        <f t="shared" ca="1" si="59"/>
        <v>-396</v>
      </c>
      <c r="V417" t="str">
        <f t="shared" ca="1" si="56"/>
        <v>Pre contrato</v>
      </c>
      <c r="W417" s="34">
        <f t="shared" si="57"/>
        <v>3600000</v>
      </c>
      <c r="X417" s="34">
        <f t="shared" si="58"/>
        <v>7800000</v>
      </c>
    </row>
    <row r="418" spans="1:24">
      <c r="A418" t="s">
        <v>884</v>
      </c>
      <c r="B418" t="s">
        <v>314</v>
      </c>
      <c r="C418" t="s">
        <v>314</v>
      </c>
      <c r="D418" s="6" t="s">
        <v>318</v>
      </c>
      <c r="E418">
        <f t="shared" ca="1" si="52"/>
        <v>28</v>
      </c>
      <c r="F418" s="20">
        <v>35786</v>
      </c>
      <c r="G418" s="20">
        <v>45495</v>
      </c>
      <c r="H418" s="20">
        <v>46752</v>
      </c>
      <c r="I418" s="17">
        <v>350000</v>
      </c>
      <c r="J418" t="s">
        <v>348</v>
      </c>
      <c r="K418" s="6" t="s">
        <v>500</v>
      </c>
      <c r="L418">
        <v>0</v>
      </c>
      <c r="M418">
        <v>0</v>
      </c>
      <c r="N418" s="17">
        <v>3000000</v>
      </c>
      <c r="O418" s="24">
        <f t="shared" si="53"/>
        <v>10500000</v>
      </c>
      <c r="P418" t="s">
        <v>493</v>
      </c>
      <c r="Q418">
        <f t="shared" ca="1" si="54"/>
        <v>120000</v>
      </c>
      <c r="R418" t="s">
        <v>503</v>
      </c>
      <c r="S418">
        <v>1.82</v>
      </c>
      <c r="T418" s="20">
        <f t="shared" ca="1" si="55"/>
        <v>46296</v>
      </c>
      <c r="U418">
        <f t="shared" ca="1" si="59"/>
        <v>456</v>
      </c>
      <c r="V418" t="str">
        <f t="shared" ca="1" si="56"/>
        <v>Com Contrato em vigor</v>
      </c>
      <c r="W418" s="34">
        <f t="shared" si="57"/>
        <v>2100000</v>
      </c>
      <c r="X418" s="34">
        <f t="shared" si="58"/>
        <v>4550000</v>
      </c>
    </row>
    <row r="419" spans="1:24">
      <c r="A419" t="s">
        <v>885</v>
      </c>
      <c r="B419" t="s">
        <v>314</v>
      </c>
      <c r="C419" t="s">
        <v>314</v>
      </c>
      <c r="D419" s="6" t="s">
        <v>305</v>
      </c>
      <c r="E419">
        <f t="shared" ca="1" si="52"/>
        <v>24</v>
      </c>
      <c r="F419" s="20">
        <v>37394</v>
      </c>
      <c r="G419" s="20">
        <v>44995</v>
      </c>
      <c r="H419" s="20">
        <v>46387</v>
      </c>
      <c r="I419" s="17">
        <v>700000</v>
      </c>
      <c r="J419" t="s">
        <v>400</v>
      </c>
      <c r="K419" s="6" t="s">
        <v>500</v>
      </c>
      <c r="L419">
        <v>0</v>
      </c>
      <c r="M419">
        <v>0</v>
      </c>
      <c r="N419" s="17">
        <v>14000000</v>
      </c>
      <c r="O419" s="24">
        <f t="shared" si="53"/>
        <v>49000000</v>
      </c>
      <c r="P419" t="s">
        <v>493</v>
      </c>
      <c r="Q419">
        <f t="shared" ca="1" si="54"/>
        <v>160000</v>
      </c>
      <c r="R419" t="s">
        <v>503</v>
      </c>
      <c r="S419">
        <v>1.73</v>
      </c>
      <c r="T419" s="20">
        <f t="shared" ca="1" si="55"/>
        <v>46296</v>
      </c>
      <c r="U419">
        <f t="shared" ca="1" si="59"/>
        <v>91</v>
      </c>
      <c r="V419" t="str">
        <f t="shared" ca="1" si="56"/>
        <v>Pre contrato</v>
      </c>
      <c r="W419" s="34">
        <f t="shared" si="57"/>
        <v>4200000</v>
      </c>
      <c r="X419" s="34">
        <f t="shared" si="58"/>
        <v>9100000</v>
      </c>
    </row>
    <row r="420" spans="1:24">
      <c r="A420" t="s">
        <v>886</v>
      </c>
      <c r="B420" t="s">
        <v>314</v>
      </c>
      <c r="C420" t="s">
        <v>314</v>
      </c>
      <c r="D420" s="6" t="s">
        <v>342</v>
      </c>
      <c r="E420">
        <f t="shared" ca="1" si="52"/>
        <v>38</v>
      </c>
      <c r="F420" s="20">
        <v>32175</v>
      </c>
      <c r="G420" s="20">
        <v>44574</v>
      </c>
      <c r="H420" s="20">
        <v>46022</v>
      </c>
      <c r="I420" s="17">
        <v>1200000</v>
      </c>
      <c r="J420" t="s">
        <v>887</v>
      </c>
      <c r="K420" s="6" t="s">
        <v>500</v>
      </c>
      <c r="L420">
        <v>3</v>
      </c>
      <c r="M420">
        <v>120</v>
      </c>
      <c r="N420" s="17">
        <v>1500000</v>
      </c>
      <c r="O420" s="24">
        <f t="shared" si="53"/>
        <v>5250000</v>
      </c>
      <c r="P420" t="s">
        <v>493</v>
      </c>
      <c r="Q420">
        <f t="shared" ca="1" si="54"/>
        <v>100000</v>
      </c>
      <c r="R420" t="s">
        <v>503</v>
      </c>
      <c r="S420">
        <v>1.76</v>
      </c>
      <c r="T420" s="20">
        <f t="shared" ca="1" si="55"/>
        <v>46296</v>
      </c>
      <c r="U420">
        <f t="shared" ca="1" si="59"/>
        <v>-274</v>
      </c>
      <c r="V420" t="str">
        <f t="shared" ca="1" si="56"/>
        <v>Pre contrato</v>
      </c>
      <c r="W420" s="34">
        <f t="shared" si="57"/>
        <v>7200000</v>
      </c>
      <c r="X420" s="34">
        <f t="shared" si="58"/>
        <v>15600000</v>
      </c>
    </row>
    <row r="421" spans="1:24">
      <c r="A421" t="s">
        <v>888</v>
      </c>
      <c r="B421" t="s">
        <v>314</v>
      </c>
      <c r="C421" t="s">
        <v>314</v>
      </c>
      <c r="D421" s="6" t="s">
        <v>305</v>
      </c>
      <c r="E421">
        <f t="shared" ca="1" si="52"/>
        <v>29</v>
      </c>
      <c r="F421" s="20">
        <v>35704</v>
      </c>
      <c r="G421" s="20">
        <v>45301</v>
      </c>
      <c r="H421" s="20">
        <v>47118</v>
      </c>
      <c r="I421" s="17">
        <v>400000</v>
      </c>
      <c r="J421" t="s">
        <v>588</v>
      </c>
      <c r="K421" s="6" t="s">
        <v>500</v>
      </c>
      <c r="L421">
        <v>0</v>
      </c>
      <c r="M421">
        <v>0</v>
      </c>
      <c r="N421" s="17">
        <v>1600000</v>
      </c>
      <c r="O421" s="24">
        <f t="shared" si="53"/>
        <v>5600000</v>
      </c>
      <c r="P421" t="s">
        <v>493</v>
      </c>
      <c r="Q421">
        <f t="shared" ca="1" si="54"/>
        <v>120000</v>
      </c>
      <c r="R421" t="s">
        <v>506</v>
      </c>
      <c r="S421">
        <v>1.89</v>
      </c>
      <c r="T421" s="20">
        <f t="shared" ca="1" si="55"/>
        <v>46296</v>
      </c>
      <c r="U421">
        <f t="shared" ca="1" si="59"/>
        <v>822</v>
      </c>
      <c r="V421" t="str">
        <f t="shared" ca="1" si="56"/>
        <v>Com Contrato em vigor</v>
      </c>
      <c r="W421" s="34">
        <f t="shared" si="57"/>
        <v>2400000</v>
      </c>
      <c r="X421" s="34">
        <f t="shared" si="58"/>
        <v>5200000</v>
      </c>
    </row>
    <row r="422" spans="1:24">
      <c r="A422" t="s">
        <v>623</v>
      </c>
      <c r="B422" t="s">
        <v>624</v>
      </c>
      <c r="C422" t="s">
        <v>624</v>
      </c>
      <c r="D422" s="6" t="s">
        <v>305</v>
      </c>
      <c r="E422">
        <f t="shared" ca="1" si="52"/>
        <v>36</v>
      </c>
      <c r="F422" s="20">
        <v>32949</v>
      </c>
      <c r="G422" s="20">
        <v>45305</v>
      </c>
      <c r="H422" s="20">
        <v>46387</v>
      </c>
      <c r="I422" s="17">
        <v>450000</v>
      </c>
      <c r="J422" t="s">
        <v>625</v>
      </c>
      <c r="K422" s="6" t="s">
        <v>495</v>
      </c>
      <c r="L422">
        <v>0</v>
      </c>
      <c r="M422">
        <v>0</v>
      </c>
      <c r="N422" s="17">
        <v>12000000</v>
      </c>
      <c r="O422" s="24">
        <f t="shared" si="53"/>
        <v>42000000</v>
      </c>
      <c r="P422" t="s">
        <v>493</v>
      </c>
      <c r="Q422">
        <f t="shared" ca="1" si="54"/>
        <v>100000</v>
      </c>
      <c r="R422" t="s">
        <v>506</v>
      </c>
      <c r="S422">
        <v>1.88</v>
      </c>
      <c r="T422" s="20">
        <f t="shared" ca="1" si="55"/>
        <v>46296</v>
      </c>
      <c r="U422">
        <f ca="1">_xlfn.DAYS(H421,T421)</f>
        <v>822</v>
      </c>
      <c r="V422" t="str">
        <f t="shared" ca="1" si="56"/>
        <v>Com Contrato em vigor</v>
      </c>
      <c r="W422" s="34">
        <f t="shared" si="57"/>
        <v>2700000</v>
      </c>
      <c r="X422" s="34">
        <f t="shared" si="58"/>
        <v>5850000</v>
      </c>
    </row>
    <row r="423" spans="1:24">
      <c r="A423" t="s">
        <v>626</v>
      </c>
      <c r="B423" t="s">
        <v>624</v>
      </c>
      <c r="C423" t="s">
        <v>624</v>
      </c>
      <c r="D423" s="6" t="s">
        <v>305</v>
      </c>
      <c r="E423">
        <f t="shared" ca="1" si="52"/>
        <v>38</v>
      </c>
      <c r="F423" s="20">
        <v>32392</v>
      </c>
      <c r="G423" s="20">
        <v>44927</v>
      </c>
      <c r="H423" s="20">
        <v>46752</v>
      </c>
      <c r="I423" s="17">
        <v>400000</v>
      </c>
      <c r="J423" t="s">
        <v>411</v>
      </c>
      <c r="K423" s="6" t="s">
        <v>495</v>
      </c>
      <c r="L423">
        <v>1</v>
      </c>
      <c r="M423">
        <v>21</v>
      </c>
      <c r="N423" s="17">
        <v>10000000</v>
      </c>
      <c r="O423" s="24">
        <f t="shared" si="53"/>
        <v>35000000</v>
      </c>
      <c r="P423" t="s">
        <v>493</v>
      </c>
      <c r="Q423">
        <f t="shared" ca="1" si="54"/>
        <v>100000</v>
      </c>
      <c r="R423" t="s">
        <v>503</v>
      </c>
      <c r="S423">
        <v>1.86</v>
      </c>
      <c r="T423" s="20">
        <f t="shared" ca="1" si="55"/>
        <v>46296</v>
      </c>
      <c r="U423">
        <f ca="1">_xlfn.DAYS(H423,T423)</f>
        <v>456</v>
      </c>
      <c r="V423" t="str">
        <f t="shared" ca="1" si="56"/>
        <v>Com Contrato em vigor</v>
      </c>
      <c r="W423" s="34">
        <f t="shared" si="57"/>
        <v>2400000</v>
      </c>
      <c r="X423" s="34">
        <f t="shared" si="58"/>
        <v>5200000</v>
      </c>
    </row>
    <row r="424" spans="1:24">
      <c r="A424" t="s">
        <v>627</v>
      </c>
      <c r="B424" t="s">
        <v>624</v>
      </c>
      <c r="C424" t="s">
        <v>624</v>
      </c>
      <c r="D424" s="6" t="s">
        <v>305</v>
      </c>
      <c r="E424">
        <f t="shared" ca="1" si="52"/>
        <v>35</v>
      </c>
      <c r="F424" s="20">
        <v>33407</v>
      </c>
      <c r="G424" s="20">
        <v>45005</v>
      </c>
      <c r="H424" s="20">
        <v>45658</v>
      </c>
      <c r="I424" s="17">
        <v>150000</v>
      </c>
      <c r="J424" t="s">
        <v>628</v>
      </c>
      <c r="K424" s="6" t="s">
        <v>495</v>
      </c>
      <c r="L424">
        <v>3</v>
      </c>
      <c r="M424">
        <v>31</v>
      </c>
      <c r="N424" s="17">
        <v>950000</v>
      </c>
      <c r="O424" s="24">
        <f t="shared" si="53"/>
        <v>3325000</v>
      </c>
      <c r="P424" t="s">
        <v>493</v>
      </c>
      <c r="Q424">
        <f t="shared" ca="1" si="54"/>
        <v>100000</v>
      </c>
      <c r="R424" t="s">
        <v>506</v>
      </c>
      <c r="S424">
        <v>1.91</v>
      </c>
      <c r="T424" s="20">
        <f t="shared" ca="1" si="55"/>
        <v>46296</v>
      </c>
      <c r="U424">
        <f ca="1">_xlfn.DAYS(H424,T424)</f>
        <v>-638</v>
      </c>
      <c r="V424" t="str">
        <f t="shared" ca="1" si="56"/>
        <v>Pre contrato</v>
      </c>
      <c r="W424" s="34">
        <f t="shared" si="57"/>
        <v>900000</v>
      </c>
      <c r="X424" s="34">
        <f t="shared" si="58"/>
        <v>1950000</v>
      </c>
    </row>
    <row r="425" spans="1:24">
      <c r="A425" t="s">
        <v>629</v>
      </c>
      <c r="B425" t="s">
        <v>624</v>
      </c>
      <c r="C425" t="s">
        <v>624</v>
      </c>
      <c r="D425" s="6" t="s">
        <v>305</v>
      </c>
      <c r="E425">
        <f t="shared" ca="1" si="52"/>
        <v>26</v>
      </c>
      <c r="F425" s="20">
        <v>36661</v>
      </c>
      <c r="G425" s="20">
        <v>45510</v>
      </c>
      <c r="H425" s="20">
        <v>46387</v>
      </c>
      <c r="I425" s="17">
        <v>75000</v>
      </c>
      <c r="J425" t="s">
        <v>444</v>
      </c>
      <c r="K425" s="6" t="s">
        <v>495</v>
      </c>
      <c r="L425">
        <v>0</v>
      </c>
      <c r="M425">
        <v>0</v>
      </c>
      <c r="N425" s="17">
        <v>500000</v>
      </c>
      <c r="O425" s="24">
        <f t="shared" si="53"/>
        <v>1750000</v>
      </c>
      <c r="P425" t="s">
        <v>493</v>
      </c>
      <c r="Q425">
        <f t="shared" ca="1" si="54"/>
        <v>120000</v>
      </c>
      <c r="R425" t="s">
        <v>506</v>
      </c>
      <c r="S425">
        <v>1.97</v>
      </c>
      <c r="T425" s="20">
        <f t="shared" ca="1" si="55"/>
        <v>46296</v>
      </c>
      <c r="U425">
        <f ca="1">_xlfn.DAYS(H425,T425)</f>
        <v>91</v>
      </c>
      <c r="V425" t="str">
        <f t="shared" ca="1" si="56"/>
        <v>Pre contrato</v>
      </c>
      <c r="W425" s="34">
        <f t="shared" si="57"/>
        <v>450000</v>
      </c>
      <c r="X425" s="34">
        <f t="shared" si="58"/>
        <v>975000</v>
      </c>
    </row>
    <row r="426" spans="1:24">
      <c r="A426" t="s">
        <v>630</v>
      </c>
      <c r="B426" t="s">
        <v>624</v>
      </c>
      <c r="C426" t="s">
        <v>624</v>
      </c>
      <c r="D426" s="6" t="s">
        <v>305</v>
      </c>
      <c r="E426">
        <f t="shared" ca="1" si="52"/>
        <v>30</v>
      </c>
      <c r="F426" s="20">
        <v>35071</v>
      </c>
      <c r="G426" s="20">
        <v>44566</v>
      </c>
      <c r="H426" s="20">
        <v>46387</v>
      </c>
      <c r="I426" s="17">
        <v>250000</v>
      </c>
      <c r="J426" t="s">
        <v>357</v>
      </c>
      <c r="K426" s="6" t="s">
        <v>492</v>
      </c>
      <c r="L426">
        <v>1</v>
      </c>
      <c r="M426">
        <v>16</v>
      </c>
      <c r="N426" s="17">
        <v>3500000</v>
      </c>
      <c r="O426" s="24">
        <f t="shared" si="53"/>
        <v>12250000</v>
      </c>
      <c r="P426" t="s">
        <v>493</v>
      </c>
      <c r="Q426">
        <f t="shared" ca="1" si="54"/>
        <v>120000</v>
      </c>
      <c r="R426" t="s">
        <v>506</v>
      </c>
      <c r="S426">
        <v>1.81</v>
      </c>
      <c r="T426" s="20">
        <f t="shared" ca="1" si="55"/>
        <v>46296</v>
      </c>
      <c r="U426">
        <f ca="1">_xlfn.DAYS(H425,T425)</f>
        <v>91</v>
      </c>
      <c r="V426" t="str">
        <f t="shared" ca="1" si="56"/>
        <v>Pre contrato</v>
      </c>
      <c r="W426" s="34">
        <f t="shared" si="57"/>
        <v>1500000</v>
      </c>
      <c r="X426" s="34">
        <f t="shared" si="58"/>
        <v>3250000</v>
      </c>
    </row>
    <row r="427" spans="1:24">
      <c r="A427" t="s">
        <v>631</v>
      </c>
      <c r="B427" t="s">
        <v>624</v>
      </c>
      <c r="C427" t="s">
        <v>624</v>
      </c>
      <c r="D427" s="6" t="s">
        <v>322</v>
      </c>
      <c r="E427">
        <f t="shared" ca="1" si="52"/>
        <v>30</v>
      </c>
      <c r="F427" s="20">
        <v>35187</v>
      </c>
      <c r="G427" s="20">
        <v>45330</v>
      </c>
      <c r="H427" s="20">
        <v>47118</v>
      </c>
      <c r="I427" s="17">
        <v>200000</v>
      </c>
      <c r="J427" t="s">
        <v>404</v>
      </c>
      <c r="K427" s="6" t="s">
        <v>492</v>
      </c>
      <c r="L427">
        <v>0</v>
      </c>
      <c r="M427">
        <v>0</v>
      </c>
      <c r="N427" s="17">
        <v>2500000</v>
      </c>
      <c r="O427" s="24">
        <f t="shared" si="53"/>
        <v>8750000</v>
      </c>
      <c r="P427" t="s">
        <v>493</v>
      </c>
      <c r="Q427">
        <f t="shared" ca="1" si="54"/>
        <v>120000</v>
      </c>
      <c r="R427" t="s">
        <v>506</v>
      </c>
      <c r="S427">
        <v>1.86</v>
      </c>
      <c r="T427" s="20">
        <f t="shared" ca="1" si="55"/>
        <v>46296</v>
      </c>
      <c r="U427">
        <f ca="1">_xlfn.DAYS(H427,T427)</f>
        <v>822</v>
      </c>
      <c r="V427" t="str">
        <f t="shared" ca="1" si="56"/>
        <v>Com Contrato em vigor</v>
      </c>
      <c r="W427" s="34">
        <f t="shared" si="57"/>
        <v>1200000</v>
      </c>
      <c r="X427" s="34">
        <f t="shared" si="58"/>
        <v>2600000</v>
      </c>
    </row>
    <row r="428" spans="1:24">
      <c r="A428" t="s">
        <v>632</v>
      </c>
      <c r="B428" t="s">
        <v>624</v>
      </c>
      <c r="C428" t="s">
        <v>624</v>
      </c>
      <c r="D428" s="6" t="s">
        <v>342</v>
      </c>
      <c r="E428">
        <f t="shared" ca="1" si="52"/>
        <v>34</v>
      </c>
      <c r="F428" s="20">
        <v>33689</v>
      </c>
      <c r="G428" s="20">
        <v>44761</v>
      </c>
      <c r="H428" s="20">
        <v>46022</v>
      </c>
      <c r="I428" s="17">
        <v>150000</v>
      </c>
      <c r="J428" t="s">
        <v>633</v>
      </c>
      <c r="K428" s="6" t="s">
        <v>492</v>
      </c>
      <c r="L428">
        <v>0</v>
      </c>
      <c r="M428">
        <v>0</v>
      </c>
      <c r="N428" s="17">
        <v>3000000</v>
      </c>
      <c r="O428" s="24">
        <f t="shared" si="53"/>
        <v>10500000</v>
      </c>
      <c r="P428" t="s">
        <v>493</v>
      </c>
      <c r="Q428">
        <f t="shared" ca="1" si="54"/>
        <v>100000</v>
      </c>
      <c r="R428" t="s">
        <v>506</v>
      </c>
      <c r="S428">
        <v>1.78</v>
      </c>
      <c r="T428" s="20">
        <f t="shared" ca="1" si="55"/>
        <v>46296</v>
      </c>
      <c r="U428">
        <f ca="1">_xlfn.DAYS(H428,T428)</f>
        <v>-274</v>
      </c>
      <c r="V428" t="str">
        <f t="shared" ca="1" si="56"/>
        <v>Pre contrato</v>
      </c>
      <c r="W428" s="34">
        <f t="shared" si="57"/>
        <v>900000</v>
      </c>
      <c r="X428" s="34">
        <f t="shared" si="58"/>
        <v>1950000</v>
      </c>
    </row>
    <row r="429" spans="1:24">
      <c r="A429" t="s">
        <v>634</v>
      </c>
      <c r="B429" t="s">
        <v>624</v>
      </c>
      <c r="C429" t="s">
        <v>624</v>
      </c>
      <c r="D429" s="6" t="s">
        <v>342</v>
      </c>
      <c r="E429">
        <f t="shared" ca="1" si="52"/>
        <v>30</v>
      </c>
      <c r="F429" s="20">
        <v>34982</v>
      </c>
      <c r="G429" s="20">
        <v>45307</v>
      </c>
      <c r="H429" s="20">
        <v>46387</v>
      </c>
      <c r="I429" s="17">
        <v>70000</v>
      </c>
      <c r="J429" t="s">
        <v>635</v>
      </c>
      <c r="K429" s="6" t="s">
        <v>492</v>
      </c>
      <c r="L429">
        <v>0</v>
      </c>
      <c r="M429">
        <v>0</v>
      </c>
      <c r="N429" s="17">
        <v>3600000</v>
      </c>
      <c r="O429" s="24">
        <f t="shared" si="53"/>
        <v>12600000</v>
      </c>
      <c r="P429" t="s">
        <v>493</v>
      </c>
      <c r="Q429">
        <f t="shared" ca="1" si="54"/>
        <v>120000</v>
      </c>
      <c r="R429" t="s">
        <v>506</v>
      </c>
      <c r="S429">
        <v>1.86</v>
      </c>
      <c r="T429" s="20">
        <f t="shared" ca="1" si="55"/>
        <v>46296</v>
      </c>
      <c r="U429">
        <f ca="1">_xlfn.DAYS(H429,T429)</f>
        <v>91</v>
      </c>
      <c r="V429" t="str">
        <f t="shared" ca="1" si="56"/>
        <v>Pre contrato</v>
      </c>
      <c r="W429" s="34">
        <f t="shared" si="57"/>
        <v>420000</v>
      </c>
      <c r="X429" s="34">
        <f t="shared" si="58"/>
        <v>910000</v>
      </c>
    </row>
    <row r="430" spans="1:24">
      <c r="A430" t="s">
        <v>636</v>
      </c>
      <c r="B430" t="s">
        <v>624</v>
      </c>
      <c r="C430" t="s">
        <v>624</v>
      </c>
      <c r="D430" s="6" t="s">
        <v>305</v>
      </c>
      <c r="E430">
        <f t="shared" ca="1" si="52"/>
        <v>38</v>
      </c>
      <c r="F430" s="20">
        <v>32214</v>
      </c>
      <c r="G430" s="20">
        <v>44312</v>
      </c>
      <c r="H430" s="20">
        <v>46022</v>
      </c>
      <c r="I430" s="17">
        <v>120000</v>
      </c>
      <c r="J430" t="s">
        <v>637</v>
      </c>
      <c r="K430" s="6" t="s">
        <v>492</v>
      </c>
      <c r="L430">
        <v>3</v>
      </c>
      <c r="M430">
        <v>40</v>
      </c>
      <c r="N430" s="17">
        <v>1000000</v>
      </c>
      <c r="O430" s="24">
        <f t="shared" si="53"/>
        <v>3500000</v>
      </c>
      <c r="P430" t="s">
        <v>497</v>
      </c>
      <c r="Q430">
        <f t="shared" ca="1" si="54"/>
        <v>100000</v>
      </c>
      <c r="R430" t="s">
        <v>506</v>
      </c>
      <c r="S430">
        <v>1.88</v>
      </c>
      <c r="T430" s="20">
        <f t="shared" ca="1" si="55"/>
        <v>46296</v>
      </c>
      <c r="U430">
        <f ca="1">_xlfn.DAYS(H429,T429)</f>
        <v>91</v>
      </c>
      <c r="V430" t="str">
        <f t="shared" ca="1" si="56"/>
        <v>Pre contrato</v>
      </c>
      <c r="W430" s="34">
        <f t="shared" si="57"/>
        <v>720000</v>
      </c>
      <c r="X430" s="34">
        <f t="shared" si="58"/>
        <v>1560000</v>
      </c>
    </row>
    <row r="431" spans="1:24">
      <c r="A431" t="s">
        <v>638</v>
      </c>
      <c r="B431" t="s">
        <v>624</v>
      </c>
      <c r="C431" t="s">
        <v>624</v>
      </c>
      <c r="D431" s="6" t="s">
        <v>305</v>
      </c>
      <c r="E431">
        <f t="shared" ca="1" si="52"/>
        <v>28</v>
      </c>
      <c r="F431" s="20">
        <v>35841</v>
      </c>
      <c r="G431" s="20">
        <v>45399</v>
      </c>
      <c r="H431" s="20">
        <v>46507</v>
      </c>
      <c r="I431" s="17">
        <v>200000</v>
      </c>
      <c r="J431" t="s">
        <v>379</v>
      </c>
      <c r="K431" s="6" t="s">
        <v>496</v>
      </c>
      <c r="L431">
        <v>0</v>
      </c>
      <c r="M431">
        <v>0</v>
      </c>
      <c r="N431" s="17">
        <v>3500000</v>
      </c>
      <c r="O431" s="24">
        <f t="shared" si="53"/>
        <v>12250000</v>
      </c>
      <c r="P431" t="s">
        <v>497</v>
      </c>
      <c r="Q431">
        <f t="shared" ca="1" si="54"/>
        <v>120000</v>
      </c>
      <c r="R431" t="s">
        <v>503</v>
      </c>
      <c r="S431">
        <v>1.76</v>
      </c>
      <c r="T431" s="20">
        <f t="shared" ca="1" si="55"/>
        <v>46296</v>
      </c>
      <c r="U431">
        <f ca="1">_xlfn.DAYS(H431,T431)</f>
        <v>211</v>
      </c>
      <c r="V431" t="str">
        <f t="shared" ca="1" si="56"/>
        <v>Com Contrato em vigor</v>
      </c>
      <c r="W431" s="34">
        <f t="shared" si="57"/>
        <v>1200000</v>
      </c>
      <c r="X431" s="34">
        <f t="shared" si="58"/>
        <v>2600000</v>
      </c>
    </row>
    <row r="432" spans="1:24">
      <c r="A432" t="s">
        <v>639</v>
      </c>
      <c r="B432" t="s">
        <v>624</v>
      </c>
      <c r="C432" t="s">
        <v>624</v>
      </c>
      <c r="D432" s="6" t="s">
        <v>305</v>
      </c>
      <c r="E432">
        <f t="shared" ca="1" si="52"/>
        <v>34</v>
      </c>
      <c r="F432" s="20">
        <v>33580</v>
      </c>
      <c r="G432" s="20">
        <v>44927</v>
      </c>
      <c r="H432" s="20">
        <v>46387</v>
      </c>
      <c r="I432" s="17">
        <v>130000</v>
      </c>
      <c r="J432" t="s">
        <v>348</v>
      </c>
      <c r="K432" s="6" t="s">
        <v>496</v>
      </c>
      <c r="L432">
        <v>0</v>
      </c>
      <c r="M432">
        <v>0</v>
      </c>
      <c r="N432" s="17">
        <v>1500000</v>
      </c>
      <c r="O432" s="24">
        <f t="shared" si="53"/>
        <v>5250000</v>
      </c>
      <c r="P432" t="s">
        <v>497</v>
      </c>
      <c r="Q432">
        <f t="shared" ca="1" si="54"/>
        <v>100000</v>
      </c>
      <c r="R432" t="s">
        <v>505</v>
      </c>
      <c r="S432">
        <v>1.75</v>
      </c>
      <c r="T432" s="20">
        <f t="shared" ca="1" si="55"/>
        <v>46296</v>
      </c>
      <c r="U432">
        <f ca="1">_xlfn.DAYS(H432,T432)</f>
        <v>91</v>
      </c>
      <c r="V432" t="str">
        <f t="shared" ca="1" si="56"/>
        <v>Pre contrato</v>
      </c>
      <c r="W432" s="34">
        <f t="shared" si="57"/>
        <v>780000</v>
      </c>
      <c r="X432" s="34">
        <f t="shared" si="58"/>
        <v>1690000</v>
      </c>
    </row>
    <row r="433" spans="1:24">
      <c r="A433" t="s">
        <v>640</v>
      </c>
      <c r="B433" t="s">
        <v>624</v>
      </c>
      <c r="C433" t="s">
        <v>624</v>
      </c>
      <c r="D433" s="6" t="s">
        <v>342</v>
      </c>
      <c r="E433">
        <f t="shared" ca="1" si="52"/>
        <v>29</v>
      </c>
      <c r="F433" s="20">
        <v>35505</v>
      </c>
      <c r="G433" s="20">
        <v>45401</v>
      </c>
      <c r="H433" s="20">
        <v>46387</v>
      </c>
      <c r="I433" s="17">
        <v>100000</v>
      </c>
      <c r="J433" t="s">
        <v>641</v>
      </c>
      <c r="K433" s="6" t="s">
        <v>496</v>
      </c>
      <c r="L433">
        <v>0</v>
      </c>
      <c r="M433">
        <v>0</v>
      </c>
      <c r="N433" s="17">
        <v>950000</v>
      </c>
      <c r="O433" s="24">
        <f t="shared" si="53"/>
        <v>3325000</v>
      </c>
      <c r="P433" t="s">
        <v>497</v>
      </c>
      <c r="Q433">
        <f t="shared" ca="1" si="54"/>
        <v>120000</v>
      </c>
      <c r="R433" t="s">
        <v>503</v>
      </c>
      <c r="S433">
        <v>1.71</v>
      </c>
      <c r="T433" s="20">
        <f t="shared" ca="1" si="55"/>
        <v>46296</v>
      </c>
      <c r="U433">
        <f ca="1">_xlfn.DAYS(H433,T433)</f>
        <v>91</v>
      </c>
      <c r="V433" t="str">
        <f t="shared" ca="1" si="56"/>
        <v>Pre contrato</v>
      </c>
      <c r="W433" s="34">
        <f t="shared" si="57"/>
        <v>600000</v>
      </c>
      <c r="X433" s="34">
        <f t="shared" si="58"/>
        <v>1300000</v>
      </c>
    </row>
    <row r="434" spans="1:24">
      <c r="A434" t="s">
        <v>303</v>
      </c>
      <c r="B434" t="s">
        <v>624</v>
      </c>
      <c r="C434" t="s">
        <v>624</v>
      </c>
      <c r="D434" s="6" t="s">
        <v>305</v>
      </c>
      <c r="E434">
        <f t="shared" ca="1" si="52"/>
        <v>29</v>
      </c>
      <c r="F434" s="20">
        <v>35580</v>
      </c>
      <c r="G434" s="20">
        <v>45519</v>
      </c>
      <c r="H434" s="20">
        <v>46387</v>
      </c>
      <c r="I434" s="17">
        <v>120000</v>
      </c>
      <c r="J434" t="s">
        <v>588</v>
      </c>
      <c r="K434" s="6" t="s">
        <v>498</v>
      </c>
      <c r="L434">
        <v>1</v>
      </c>
      <c r="M434">
        <v>12</v>
      </c>
      <c r="N434" s="17">
        <v>3000000</v>
      </c>
      <c r="O434" s="24">
        <f t="shared" si="53"/>
        <v>10500000</v>
      </c>
      <c r="P434" t="s">
        <v>493</v>
      </c>
      <c r="Q434">
        <f t="shared" ca="1" si="54"/>
        <v>120000</v>
      </c>
      <c r="R434" t="s">
        <v>506</v>
      </c>
      <c r="S434">
        <v>1.75</v>
      </c>
      <c r="T434" s="20">
        <f t="shared" ca="1" si="55"/>
        <v>46296</v>
      </c>
      <c r="U434">
        <f ca="1">_xlfn.DAYS(H433,T433)</f>
        <v>91</v>
      </c>
      <c r="V434" t="str">
        <f t="shared" ca="1" si="56"/>
        <v>Pre contrato</v>
      </c>
      <c r="W434" s="34">
        <f t="shared" si="57"/>
        <v>720000</v>
      </c>
      <c r="X434" s="34">
        <f t="shared" si="58"/>
        <v>1560000</v>
      </c>
    </row>
    <row r="435" spans="1:24">
      <c r="A435" t="s">
        <v>642</v>
      </c>
      <c r="B435" t="s">
        <v>624</v>
      </c>
      <c r="C435" t="s">
        <v>624</v>
      </c>
      <c r="D435" s="6" t="s">
        <v>305</v>
      </c>
      <c r="E435">
        <f t="shared" ca="1" si="52"/>
        <v>33</v>
      </c>
      <c r="F435" s="20">
        <v>34213</v>
      </c>
      <c r="G435" s="20">
        <v>43101</v>
      </c>
      <c r="H435" s="20">
        <v>46142</v>
      </c>
      <c r="I435" s="17">
        <v>150000</v>
      </c>
      <c r="J435" t="s">
        <v>643</v>
      </c>
      <c r="K435" s="6" t="s">
        <v>498</v>
      </c>
      <c r="L435">
        <v>2</v>
      </c>
      <c r="M435">
        <v>75</v>
      </c>
      <c r="N435" s="17">
        <v>3500000</v>
      </c>
      <c r="O435" s="24">
        <f t="shared" si="53"/>
        <v>12250000</v>
      </c>
      <c r="P435" t="s">
        <v>493</v>
      </c>
      <c r="Q435">
        <f t="shared" ca="1" si="54"/>
        <v>100000</v>
      </c>
      <c r="R435" t="s">
        <v>506</v>
      </c>
      <c r="S435">
        <v>1.8</v>
      </c>
      <c r="T435" s="20">
        <f t="shared" ca="1" si="55"/>
        <v>46296</v>
      </c>
      <c r="U435">
        <f ca="1">_xlfn.DAYS(H435,T435)</f>
        <v>-154</v>
      </c>
      <c r="V435" t="str">
        <f t="shared" ca="1" si="56"/>
        <v>Pre contrato</v>
      </c>
      <c r="W435" s="34">
        <f t="shared" si="57"/>
        <v>900000</v>
      </c>
      <c r="X435" s="34">
        <f t="shared" si="58"/>
        <v>1950000</v>
      </c>
    </row>
    <row r="436" spans="1:24">
      <c r="A436" t="s">
        <v>644</v>
      </c>
      <c r="B436" t="s">
        <v>624</v>
      </c>
      <c r="C436" t="s">
        <v>624</v>
      </c>
      <c r="D436" s="6" t="s">
        <v>342</v>
      </c>
      <c r="E436">
        <f t="shared" ca="1" si="52"/>
        <v>27</v>
      </c>
      <c r="F436" s="20">
        <v>36267</v>
      </c>
      <c r="G436" s="20">
        <v>45512</v>
      </c>
      <c r="H436" s="20">
        <v>46975</v>
      </c>
      <c r="I436" s="17">
        <v>78000</v>
      </c>
      <c r="J436" t="s">
        <v>645</v>
      </c>
      <c r="K436" s="6" t="s">
        <v>498</v>
      </c>
      <c r="L436">
        <v>0</v>
      </c>
      <c r="M436">
        <v>0</v>
      </c>
      <c r="N436" s="17">
        <v>2000000</v>
      </c>
      <c r="O436" s="24">
        <f t="shared" si="53"/>
        <v>7000000</v>
      </c>
      <c r="P436" t="s">
        <v>493</v>
      </c>
      <c r="Q436">
        <f t="shared" ca="1" si="54"/>
        <v>120000</v>
      </c>
      <c r="R436" t="s">
        <v>506</v>
      </c>
      <c r="S436">
        <v>1.71</v>
      </c>
      <c r="T436" s="20">
        <f t="shared" ca="1" si="55"/>
        <v>46296</v>
      </c>
      <c r="U436">
        <f ca="1">_xlfn.DAYS(H436,T436)</f>
        <v>679</v>
      </c>
      <c r="V436" t="str">
        <f t="shared" ca="1" si="56"/>
        <v>Com Contrato em vigor</v>
      </c>
      <c r="W436" s="34">
        <f t="shared" si="57"/>
        <v>468000</v>
      </c>
      <c r="X436" s="34">
        <f t="shared" si="58"/>
        <v>1014000</v>
      </c>
    </row>
    <row r="437" spans="1:24">
      <c r="A437" t="s">
        <v>646</v>
      </c>
      <c r="B437" t="s">
        <v>624</v>
      </c>
      <c r="C437" t="s">
        <v>624</v>
      </c>
      <c r="D437" s="6" t="s">
        <v>305</v>
      </c>
      <c r="E437">
        <f t="shared" ca="1" si="52"/>
        <v>31</v>
      </c>
      <c r="F437" s="20">
        <v>34769</v>
      </c>
      <c r="G437" s="20">
        <v>44927</v>
      </c>
      <c r="H437" s="20">
        <v>46387</v>
      </c>
      <c r="I437" s="17">
        <v>160000</v>
      </c>
      <c r="J437" t="s">
        <v>357</v>
      </c>
      <c r="K437" s="6" t="s">
        <v>494</v>
      </c>
      <c r="L437">
        <v>0</v>
      </c>
      <c r="M437">
        <v>0</v>
      </c>
      <c r="N437" s="17">
        <v>2000000</v>
      </c>
      <c r="O437" s="24">
        <f t="shared" si="53"/>
        <v>7000000</v>
      </c>
      <c r="P437" t="s">
        <v>493</v>
      </c>
      <c r="Q437">
        <f t="shared" ca="1" si="54"/>
        <v>100000</v>
      </c>
      <c r="R437" t="s">
        <v>506</v>
      </c>
      <c r="S437">
        <v>1.77</v>
      </c>
      <c r="T437" s="20">
        <f t="shared" ca="1" si="55"/>
        <v>46296</v>
      </c>
      <c r="U437">
        <f ca="1">_xlfn.DAYS(H437,T437)</f>
        <v>91</v>
      </c>
      <c r="V437" t="str">
        <f t="shared" ca="1" si="56"/>
        <v>Pre contrato</v>
      </c>
      <c r="W437" s="34">
        <f t="shared" si="57"/>
        <v>960000</v>
      </c>
      <c r="X437" s="34">
        <f t="shared" si="58"/>
        <v>2080000</v>
      </c>
    </row>
    <row r="438" spans="1:24">
      <c r="A438" t="s">
        <v>647</v>
      </c>
      <c r="B438" t="s">
        <v>624</v>
      </c>
      <c r="C438" t="s">
        <v>624</v>
      </c>
      <c r="D438" s="6" t="s">
        <v>305</v>
      </c>
      <c r="E438">
        <f t="shared" ca="1" si="52"/>
        <v>36</v>
      </c>
      <c r="F438" s="20">
        <v>32933</v>
      </c>
      <c r="G438" s="20">
        <v>44760</v>
      </c>
      <c r="H438" s="20">
        <v>46022</v>
      </c>
      <c r="I438" s="17">
        <v>60000</v>
      </c>
      <c r="J438" t="s">
        <v>441</v>
      </c>
      <c r="K438" s="6" t="s">
        <v>494</v>
      </c>
      <c r="L438">
        <v>1</v>
      </c>
      <c r="M438">
        <v>10</v>
      </c>
      <c r="N438" s="17">
        <v>750000</v>
      </c>
      <c r="O438" s="24">
        <f t="shared" si="53"/>
        <v>2625000</v>
      </c>
      <c r="P438" t="s">
        <v>497</v>
      </c>
      <c r="Q438">
        <f t="shared" ca="1" si="54"/>
        <v>100000</v>
      </c>
      <c r="R438" t="s">
        <v>503</v>
      </c>
      <c r="S438">
        <v>1.77</v>
      </c>
      <c r="T438" s="20">
        <f t="shared" ca="1" si="55"/>
        <v>46296</v>
      </c>
      <c r="U438">
        <f ca="1">_xlfn.DAYS(H437,T437)</f>
        <v>91</v>
      </c>
      <c r="V438" t="str">
        <f t="shared" ca="1" si="56"/>
        <v>Pre contrato</v>
      </c>
      <c r="W438" s="34">
        <f t="shared" si="57"/>
        <v>360000</v>
      </c>
      <c r="X438" s="34">
        <f t="shared" si="58"/>
        <v>780000</v>
      </c>
    </row>
    <row r="439" spans="1:24">
      <c r="A439" t="s">
        <v>648</v>
      </c>
      <c r="B439" t="s">
        <v>624</v>
      </c>
      <c r="C439" t="s">
        <v>624</v>
      </c>
      <c r="D439" s="6" t="s">
        <v>305</v>
      </c>
      <c r="E439">
        <f t="shared" ca="1" si="52"/>
        <v>25</v>
      </c>
      <c r="F439" s="20">
        <v>36819</v>
      </c>
      <c r="G439" s="20">
        <v>44562</v>
      </c>
      <c r="H439" s="20">
        <v>46387</v>
      </c>
      <c r="I439" s="17">
        <v>170000</v>
      </c>
      <c r="J439" t="s">
        <v>464</v>
      </c>
      <c r="K439" s="6" t="s">
        <v>499</v>
      </c>
      <c r="L439">
        <v>0</v>
      </c>
      <c r="M439">
        <v>0</v>
      </c>
      <c r="N439" s="17">
        <v>10000000</v>
      </c>
      <c r="O439" s="24">
        <f t="shared" si="53"/>
        <v>35000000</v>
      </c>
      <c r="P439" t="s">
        <v>493</v>
      </c>
      <c r="Q439">
        <f t="shared" ca="1" si="54"/>
        <v>120000</v>
      </c>
      <c r="R439" t="s">
        <v>506</v>
      </c>
      <c r="S439">
        <v>1.76</v>
      </c>
      <c r="T439" s="20">
        <f t="shared" ca="1" si="55"/>
        <v>46296</v>
      </c>
      <c r="U439">
        <f ca="1">_xlfn.DAYS(H439,T439)</f>
        <v>91</v>
      </c>
      <c r="V439" t="str">
        <f t="shared" ca="1" si="56"/>
        <v>Pre contrato</v>
      </c>
      <c r="W439" s="34">
        <f t="shared" si="57"/>
        <v>1020000</v>
      </c>
      <c r="X439" s="34">
        <f t="shared" si="58"/>
        <v>2210000</v>
      </c>
    </row>
    <row r="440" spans="1:24">
      <c r="A440" t="s">
        <v>649</v>
      </c>
      <c r="B440" t="s">
        <v>624</v>
      </c>
      <c r="C440" t="s">
        <v>624</v>
      </c>
      <c r="D440" s="6" t="s">
        <v>305</v>
      </c>
      <c r="E440">
        <f t="shared" ca="1" si="52"/>
        <v>30</v>
      </c>
      <c r="F440" s="20">
        <v>35219</v>
      </c>
      <c r="G440" s="20">
        <v>45345</v>
      </c>
      <c r="H440" s="20">
        <v>46752</v>
      </c>
      <c r="I440" s="17">
        <v>200000</v>
      </c>
      <c r="J440" s="23" t="s">
        <v>352</v>
      </c>
      <c r="K440" s="6" t="s">
        <v>499</v>
      </c>
      <c r="L440">
        <v>0</v>
      </c>
      <c r="M440">
        <v>0</v>
      </c>
      <c r="N440" s="17">
        <v>4000000</v>
      </c>
      <c r="O440" s="24">
        <f t="shared" si="53"/>
        <v>14000000</v>
      </c>
      <c r="P440" t="s">
        <v>493</v>
      </c>
      <c r="Q440">
        <f t="shared" ca="1" si="54"/>
        <v>120000</v>
      </c>
      <c r="R440" t="s">
        <v>503</v>
      </c>
      <c r="S440">
        <v>1.8</v>
      </c>
      <c r="T440" s="20">
        <f t="shared" ca="1" si="55"/>
        <v>46296</v>
      </c>
      <c r="U440">
        <f ca="1">_xlfn.DAYS(H440,T440)</f>
        <v>456</v>
      </c>
      <c r="V440" t="str">
        <f t="shared" ca="1" si="56"/>
        <v>Com Contrato em vigor</v>
      </c>
      <c r="W440" s="34">
        <f t="shared" si="57"/>
        <v>1200000</v>
      </c>
      <c r="X440" s="34">
        <f t="shared" si="58"/>
        <v>2600000</v>
      </c>
    </row>
    <row r="441" spans="1:24">
      <c r="A441" t="s">
        <v>650</v>
      </c>
      <c r="B441" t="s">
        <v>624</v>
      </c>
      <c r="C441" t="s">
        <v>624</v>
      </c>
      <c r="D441" s="6" t="s">
        <v>305</v>
      </c>
      <c r="E441">
        <f t="shared" ca="1" si="52"/>
        <v>29</v>
      </c>
      <c r="F441" s="20">
        <v>35492</v>
      </c>
      <c r="G441" s="20">
        <v>45120</v>
      </c>
      <c r="H441" s="20">
        <v>46387</v>
      </c>
      <c r="I441" s="17">
        <v>90000</v>
      </c>
      <c r="J441" t="s">
        <v>651</v>
      </c>
      <c r="K441" s="6" t="s">
        <v>499</v>
      </c>
      <c r="L441">
        <v>1</v>
      </c>
      <c r="M441">
        <v>40</v>
      </c>
      <c r="N441" s="17">
        <v>4000000</v>
      </c>
      <c r="O441" s="24">
        <f t="shared" si="53"/>
        <v>14000000</v>
      </c>
      <c r="P441" t="s">
        <v>493</v>
      </c>
      <c r="Q441">
        <f t="shared" ca="1" si="54"/>
        <v>120000</v>
      </c>
      <c r="R441" t="s">
        <v>506</v>
      </c>
      <c r="S441">
        <v>1.78</v>
      </c>
      <c r="T441" s="20">
        <f t="shared" ca="1" si="55"/>
        <v>46296</v>
      </c>
      <c r="U441">
        <f ca="1">_xlfn.DAYS(H441,T441)</f>
        <v>91</v>
      </c>
      <c r="V441" t="str">
        <f t="shared" ca="1" si="56"/>
        <v>Pre contrato</v>
      </c>
      <c r="W441" s="34">
        <f t="shared" si="57"/>
        <v>540000</v>
      </c>
      <c r="X441" s="34">
        <f t="shared" si="58"/>
        <v>1170000</v>
      </c>
    </row>
    <row r="442" spans="1:24">
      <c r="A442" t="s">
        <v>652</v>
      </c>
      <c r="B442" t="s">
        <v>624</v>
      </c>
      <c r="C442" t="s">
        <v>624</v>
      </c>
      <c r="D442" s="6" t="s">
        <v>305</v>
      </c>
      <c r="E442">
        <f t="shared" ca="1" si="52"/>
        <v>26</v>
      </c>
      <c r="F442" s="20">
        <v>36646</v>
      </c>
      <c r="G442" s="20">
        <v>44962</v>
      </c>
      <c r="H442" s="20">
        <v>46387</v>
      </c>
      <c r="I442" s="17">
        <v>300000</v>
      </c>
      <c r="J442" t="s">
        <v>357</v>
      </c>
      <c r="K442" s="6" t="s">
        <v>499</v>
      </c>
      <c r="L442">
        <v>0</v>
      </c>
      <c r="M442">
        <v>0</v>
      </c>
      <c r="N442" s="17">
        <v>6000000</v>
      </c>
      <c r="O442" s="24">
        <f t="shared" si="53"/>
        <v>21000000</v>
      </c>
      <c r="P442" t="s">
        <v>493</v>
      </c>
      <c r="Q442">
        <f t="shared" ca="1" si="54"/>
        <v>120000</v>
      </c>
      <c r="R442" t="s">
        <v>506</v>
      </c>
      <c r="S442">
        <v>1.73</v>
      </c>
      <c r="T442" s="20">
        <f t="shared" ca="1" si="55"/>
        <v>46296</v>
      </c>
      <c r="U442">
        <f ca="1">_xlfn.DAYS(H441,T441)</f>
        <v>91</v>
      </c>
      <c r="V442" t="str">
        <f t="shared" ca="1" si="56"/>
        <v>Pre contrato</v>
      </c>
      <c r="W442" s="34">
        <f t="shared" si="57"/>
        <v>1800000</v>
      </c>
      <c r="X442" s="34">
        <f t="shared" si="58"/>
        <v>3900000</v>
      </c>
    </row>
    <row r="443" spans="1:24">
      <c r="A443" t="s">
        <v>653</v>
      </c>
      <c r="B443" t="s">
        <v>624</v>
      </c>
      <c r="C443" t="s">
        <v>624</v>
      </c>
      <c r="D443" s="6" t="s">
        <v>342</v>
      </c>
      <c r="E443">
        <f t="shared" ca="1" si="52"/>
        <v>30</v>
      </c>
      <c r="F443" s="20">
        <v>35096</v>
      </c>
      <c r="G443" s="20">
        <v>44936</v>
      </c>
      <c r="H443" s="20">
        <v>46022</v>
      </c>
      <c r="I443" s="17">
        <v>350000</v>
      </c>
      <c r="J443" t="s">
        <v>635</v>
      </c>
      <c r="K443" s="6" t="s">
        <v>499</v>
      </c>
      <c r="L443">
        <v>0</v>
      </c>
      <c r="M443">
        <v>0</v>
      </c>
      <c r="N443" s="17">
        <v>12000000</v>
      </c>
      <c r="O443" s="24">
        <f t="shared" si="53"/>
        <v>42000000</v>
      </c>
      <c r="P443" t="s">
        <v>493</v>
      </c>
      <c r="Q443">
        <f t="shared" ca="1" si="54"/>
        <v>120000</v>
      </c>
      <c r="R443" t="s">
        <v>506</v>
      </c>
      <c r="S443">
        <v>1.8</v>
      </c>
      <c r="T443" s="20">
        <f t="shared" ca="1" si="55"/>
        <v>46296</v>
      </c>
      <c r="U443">
        <f ca="1">_xlfn.DAYS(H443,T443)</f>
        <v>-274</v>
      </c>
      <c r="V443" t="str">
        <f t="shared" ca="1" si="56"/>
        <v>Pre contrato</v>
      </c>
      <c r="W443" s="34">
        <f t="shared" si="57"/>
        <v>2100000</v>
      </c>
      <c r="X443" s="34">
        <f t="shared" si="58"/>
        <v>4550000</v>
      </c>
    </row>
    <row r="444" spans="1:24">
      <c r="A444" t="s">
        <v>654</v>
      </c>
      <c r="B444" t="s">
        <v>624</v>
      </c>
      <c r="C444" t="s">
        <v>624</v>
      </c>
      <c r="D444" s="6" t="s">
        <v>342</v>
      </c>
      <c r="E444">
        <f t="shared" ca="1" si="52"/>
        <v>32</v>
      </c>
      <c r="F444" s="20">
        <v>34489</v>
      </c>
      <c r="G444" s="20">
        <v>45391</v>
      </c>
      <c r="H444" s="20">
        <v>46568</v>
      </c>
      <c r="I444" s="17">
        <v>270000</v>
      </c>
      <c r="J444" t="s">
        <v>348</v>
      </c>
      <c r="K444" s="6" t="s">
        <v>499</v>
      </c>
      <c r="L444">
        <v>1</v>
      </c>
      <c r="M444">
        <v>11</v>
      </c>
      <c r="N444" s="17">
        <v>7500000</v>
      </c>
      <c r="O444" s="24">
        <f t="shared" si="53"/>
        <v>26250000</v>
      </c>
      <c r="P444" t="s">
        <v>493</v>
      </c>
      <c r="Q444">
        <f t="shared" ca="1" si="54"/>
        <v>100000</v>
      </c>
      <c r="R444" t="s">
        <v>505</v>
      </c>
      <c r="S444">
        <v>1.7</v>
      </c>
      <c r="T444" s="20">
        <f t="shared" ca="1" si="55"/>
        <v>46296</v>
      </c>
      <c r="U444">
        <f ca="1">_xlfn.DAYS(H444,T444)</f>
        <v>272</v>
      </c>
      <c r="V444" t="str">
        <f t="shared" ca="1" si="56"/>
        <v>Com Contrato em vigor</v>
      </c>
      <c r="W444" s="34">
        <f t="shared" si="57"/>
        <v>1620000</v>
      </c>
      <c r="X444" s="34">
        <f t="shared" si="58"/>
        <v>3510000</v>
      </c>
    </row>
    <row r="445" spans="1:24">
      <c r="A445" t="s">
        <v>655</v>
      </c>
      <c r="B445" t="s">
        <v>624</v>
      </c>
      <c r="C445" t="s">
        <v>624</v>
      </c>
      <c r="D445" s="6" t="s">
        <v>305</v>
      </c>
      <c r="E445">
        <f t="shared" ca="1" si="52"/>
        <v>30</v>
      </c>
      <c r="F445" s="20">
        <v>35336</v>
      </c>
      <c r="G445" s="20">
        <v>45474</v>
      </c>
      <c r="H445" s="20">
        <v>46752</v>
      </c>
      <c r="I445" s="17">
        <v>100000</v>
      </c>
      <c r="J445" t="s">
        <v>656</v>
      </c>
      <c r="K445" s="6" t="s">
        <v>500</v>
      </c>
      <c r="L445">
        <v>0</v>
      </c>
      <c r="M445">
        <v>0</v>
      </c>
      <c r="N445" s="17">
        <v>3000000</v>
      </c>
      <c r="O445" s="24">
        <f t="shared" si="53"/>
        <v>10500000</v>
      </c>
      <c r="P445" t="s">
        <v>493</v>
      </c>
      <c r="Q445">
        <f t="shared" ca="1" si="54"/>
        <v>120000</v>
      </c>
      <c r="R445" t="s">
        <v>503</v>
      </c>
      <c r="S445">
        <v>1.7</v>
      </c>
      <c r="T445" s="20">
        <f t="shared" ca="1" si="55"/>
        <v>46296</v>
      </c>
      <c r="U445">
        <f ca="1">_xlfn.DAYS(H445,T445)</f>
        <v>456</v>
      </c>
      <c r="V445" t="str">
        <f t="shared" ca="1" si="56"/>
        <v>Com Contrato em vigor</v>
      </c>
      <c r="W445" s="34">
        <f t="shared" si="57"/>
        <v>600000</v>
      </c>
      <c r="X445" s="34">
        <f t="shared" si="58"/>
        <v>1300000</v>
      </c>
    </row>
    <row r="446" spans="1:24">
      <c r="A446" t="s">
        <v>657</v>
      </c>
      <c r="B446" t="s">
        <v>624</v>
      </c>
      <c r="C446" t="s">
        <v>624</v>
      </c>
      <c r="D446" s="6" t="s">
        <v>305</v>
      </c>
      <c r="E446">
        <f t="shared" ca="1" si="52"/>
        <v>30</v>
      </c>
      <c r="F446" s="20">
        <v>35088</v>
      </c>
      <c r="G446" s="20">
        <v>45567</v>
      </c>
      <c r="H446" s="20">
        <v>47118</v>
      </c>
      <c r="I446" s="17">
        <v>450000</v>
      </c>
      <c r="J446" t="s">
        <v>357</v>
      </c>
      <c r="K446" s="6" t="s">
        <v>500</v>
      </c>
      <c r="L446">
        <v>0</v>
      </c>
      <c r="M446">
        <v>0</v>
      </c>
      <c r="N446" s="17">
        <v>5600000</v>
      </c>
      <c r="O446" s="24">
        <f t="shared" si="53"/>
        <v>19600000</v>
      </c>
      <c r="P446" t="s">
        <v>493</v>
      </c>
      <c r="Q446">
        <f t="shared" ca="1" si="54"/>
        <v>120000</v>
      </c>
      <c r="R446" t="s">
        <v>506</v>
      </c>
      <c r="S446">
        <v>1.78</v>
      </c>
      <c r="T446" s="20">
        <f t="shared" ca="1" si="55"/>
        <v>46296</v>
      </c>
      <c r="U446">
        <f ca="1">_xlfn.DAYS(H445,T445)</f>
        <v>456</v>
      </c>
      <c r="V446" t="str">
        <f t="shared" ca="1" si="56"/>
        <v>Com Contrato em vigor</v>
      </c>
      <c r="W446" s="34">
        <f t="shared" si="57"/>
        <v>2700000</v>
      </c>
      <c r="X446" s="34">
        <f t="shared" si="58"/>
        <v>5850000</v>
      </c>
    </row>
    <row r="447" spans="1:24">
      <c r="A447" t="s">
        <v>658</v>
      </c>
      <c r="B447" t="s">
        <v>624</v>
      </c>
      <c r="C447" t="s">
        <v>624</v>
      </c>
      <c r="D447" s="6" t="s">
        <v>305</v>
      </c>
      <c r="E447">
        <f t="shared" ca="1" si="52"/>
        <v>30</v>
      </c>
      <c r="F447" s="20">
        <v>35310</v>
      </c>
      <c r="G447" s="20">
        <v>45302</v>
      </c>
      <c r="H447" s="20">
        <v>46752</v>
      </c>
      <c r="I447" s="17">
        <v>350000</v>
      </c>
      <c r="J447" t="s">
        <v>478</v>
      </c>
      <c r="K447" s="6" t="s">
        <v>500</v>
      </c>
      <c r="L447">
        <v>0</v>
      </c>
      <c r="M447">
        <v>0</v>
      </c>
      <c r="N447" s="17">
        <v>7000000</v>
      </c>
      <c r="O447" s="24">
        <f t="shared" si="53"/>
        <v>24500000</v>
      </c>
      <c r="P447" t="s">
        <v>493</v>
      </c>
      <c r="Q447">
        <f t="shared" ca="1" si="54"/>
        <v>120000</v>
      </c>
      <c r="R447" t="s">
        <v>506</v>
      </c>
      <c r="S447">
        <v>1.77</v>
      </c>
      <c r="T447" s="20">
        <f t="shared" ca="1" si="55"/>
        <v>46296</v>
      </c>
      <c r="U447">
        <f ca="1">_xlfn.DAYS(H448,T447)</f>
        <v>-274</v>
      </c>
      <c r="V447" t="str">
        <f t="shared" ca="1" si="56"/>
        <v>Pre contrato</v>
      </c>
      <c r="W447" s="34">
        <f t="shared" si="57"/>
        <v>2100000</v>
      </c>
      <c r="X447" s="34">
        <f t="shared" si="58"/>
        <v>4550000</v>
      </c>
    </row>
    <row r="448" spans="1:24">
      <c r="A448" t="s">
        <v>659</v>
      </c>
      <c r="B448" t="s">
        <v>624</v>
      </c>
      <c r="C448" t="s">
        <v>624</v>
      </c>
      <c r="D448" s="6" t="s">
        <v>305</v>
      </c>
      <c r="E448">
        <f t="shared" ca="1" si="52"/>
        <v>36</v>
      </c>
      <c r="F448" s="20">
        <v>33022</v>
      </c>
      <c r="G448" s="20">
        <v>45108</v>
      </c>
      <c r="H448" s="20">
        <v>46022</v>
      </c>
      <c r="I448" s="17">
        <v>600000</v>
      </c>
      <c r="J448" t="s">
        <v>637</v>
      </c>
      <c r="K448" s="6" t="s">
        <v>500</v>
      </c>
      <c r="L448">
        <v>1</v>
      </c>
      <c r="M448">
        <v>21</v>
      </c>
      <c r="N448" s="17">
        <v>550000</v>
      </c>
      <c r="O448" s="24">
        <f t="shared" si="53"/>
        <v>1925000</v>
      </c>
      <c r="P448" t="s">
        <v>497</v>
      </c>
      <c r="Q448">
        <f t="shared" ca="1" si="54"/>
        <v>100000</v>
      </c>
      <c r="R448" t="s">
        <v>503</v>
      </c>
      <c r="S448">
        <v>1.7</v>
      </c>
      <c r="T448" s="20">
        <f t="shared" ca="1" si="55"/>
        <v>46296</v>
      </c>
      <c r="U448">
        <f ca="1">_xlfn.DAYS(H448,T448)</f>
        <v>-274</v>
      </c>
      <c r="V448" t="str">
        <f t="shared" ca="1" si="56"/>
        <v>Pre contrato</v>
      </c>
      <c r="W448" s="34">
        <f t="shared" si="57"/>
        <v>3600000</v>
      </c>
      <c r="X448" s="34">
        <f t="shared" si="58"/>
        <v>7800000</v>
      </c>
    </row>
    <row r="449" spans="1:24">
      <c r="A449" t="s">
        <v>660</v>
      </c>
      <c r="B449" t="s">
        <v>624</v>
      </c>
      <c r="C449" t="s">
        <v>624</v>
      </c>
      <c r="D449" s="6" t="s">
        <v>305</v>
      </c>
      <c r="E449">
        <f t="shared" ca="1" si="52"/>
        <v>34</v>
      </c>
      <c r="F449" s="20">
        <v>33760</v>
      </c>
      <c r="G449" s="20">
        <v>45292</v>
      </c>
      <c r="H449" s="20">
        <v>46022</v>
      </c>
      <c r="I449" s="17">
        <v>570000</v>
      </c>
      <c r="J449" t="s">
        <v>419</v>
      </c>
      <c r="K449" s="6" t="s">
        <v>500</v>
      </c>
      <c r="L449">
        <v>2</v>
      </c>
      <c r="M449">
        <v>31</v>
      </c>
      <c r="N449" s="17">
        <v>2500000</v>
      </c>
      <c r="O449" s="24">
        <f t="shared" si="53"/>
        <v>8750000</v>
      </c>
      <c r="P449" t="s">
        <v>493</v>
      </c>
      <c r="Q449">
        <f t="shared" ca="1" si="54"/>
        <v>100000</v>
      </c>
      <c r="R449" t="s">
        <v>506</v>
      </c>
      <c r="S449">
        <v>1.7</v>
      </c>
      <c r="T449" s="20">
        <f t="shared" ca="1" si="55"/>
        <v>46296</v>
      </c>
      <c r="U449">
        <f ca="1">_xlfn.DAYS(H449,T449)</f>
        <v>-274</v>
      </c>
      <c r="V449" t="str">
        <f t="shared" ca="1" si="56"/>
        <v>Pre contrato</v>
      </c>
      <c r="W449" s="34">
        <f t="shared" si="57"/>
        <v>3420000</v>
      </c>
      <c r="X449" s="34">
        <f t="shared" si="58"/>
        <v>7410000</v>
      </c>
    </row>
    <row r="450" spans="1:24">
      <c r="A450" t="s">
        <v>661</v>
      </c>
      <c r="B450" t="s">
        <v>624</v>
      </c>
      <c r="C450" t="s">
        <v>624</v>
      </c>
      <c r="D450" s="6" t="s">
        <v>342</v>
      </c>
      <c r="E450">
        <f t="shared" ref="E450:E513" ca="1" si="60">DATEDIF(F450,TODAY(),"Y")</f>
        <v>26</v>
      </c>
      <c r="F450" s="20">
        <v>36540</v>
      </c>
      <c r="G450" s="20">
        <v>45135</v>
      </c>
      <c r="H450" s="20">
        <v>46022</v>
      </c>
      <c r="I450" s="17">
        <v>250000</v>
      </c>
      <c r="J450" t="s">
        <v>662</v>
      </c>
      <c r="K450" s="6" t="s">
        <v>500</v>
      </c>
      <c r="L450">
        <v>0</v>
      </c>
      <c r="M450">
        <v>0</v>
      </c>
      <c r="N450" s="17">
        <v>3500000</v>
      </c>
      <c r="O450" s="24">
        <f t="shared" ref="O450:O513" si="61">N450*3.5</f>
        <v>12250000</v>
      </c>
      <c r="P450" t="s">
        <v>493</v>
      </c>
      <c r="Q450">
        <f t="shared" ref="Q450:Q513" ca="1" si="62">IF(E450&gt;30,100000,IF(E450&gt;24,120000,IF(E450&gt;16,160000)))</f>
        <v>120000</v>
      </c>
      <c r="R450" t="s">
        <v>506</v>
      </c>
      <c r="S450">
        <v>1.7</v>
      </c>
      <c r="T450" s="20">
        <f t="shared" ref="T450:T513" ca="1" si="63">TODAY()</f>
        <v>46296</v>
      </c>
      <c r="U450">
        <f ca="1">_xlfn.DAYS(H449,T449)</f>
        <v>-274</v>
      </c>
      <c r="V450" t="str">
        <f t="shared" ref="V450:V513" ca="1" si="64">IF(U450&lt;180, "Pre contrato","Com Contrato em vigor")</f>
        <v>Pre contrato</v>
      </c>
      <c r="W450" s="34">
        <f t="shared" si="57"/>
        <v>1500000</v>
      </c>
      <c r="X450" s="34">
        <f t="shared" si="58"/>
        <v>3250000</v>
      </c>
    </row>
    <row r="451" spans="1:24">
      <c r="A451" t="s">
        <v>537</v>
      </c>
      <c r="B451" t="s">
        <v>624</v>
      </c>
      <c r="C451" t="s">
        <v>624</v>
      </c>
      <c r="D451" s="6" t="s">
        <v>305</v>
      </c>
      <c r="E451">
        <f t="shared" ca="1" si="60"/>
        <v>30</v>
      </c>
      <c r="F451" s="20">
        <v>35112</v>
      </c>
      <c r="G451" s="20">
        <v>44601</v>
      </c>
      <c r="H451" s="20">
        <v>46022</v>
      </c>
      <c r="I451" s="17">
        <v>400000</v>
      </c>
      <c r="J451" t="s">
        <v>538</v>
      </c>
      <c r="K451" s="6" t="s">
        <v>500</v>
      </c>
      <c r="L451">
        <v>0</v>
      </c>
      <c r="M451">
        <v>0</v>
      </c>
      <c r="N451" s="17">
        <v>2500000</v>
      </c>
      <c r="O451" s="24">
        <f t="shared" si="61"/>
        <v>8750000</v>
      </c>
      <c r="P451" t="s">
        <v>493</v>
      </c>
      <c r="Q451">
        <f t="shared" ca="1" si="62"/>
        <v>120000</v>
      </c>
      <c r="R451" t="s">
        <v>506</v>
      </c>
      <c r="S451">
        <v>1.78</v>
      </c>
      <c r="T451" s="20">
        <f t="shared" ca="1" si="63"/>
        <v>46296</v>
      </c>
      <c r="U451">
        <f t="shared" ref="U451:U482" ca="1" si="65">_xlfn.DAYS(H451,T451)</f>
        <v>-274</v>
      </c>
      <c r="V451" t="str">
        <f t="shared" ca="1" si="64"/>
        <v>Pre contrato</v>
      </c>
      <c r="W451" s="34">
        <f t="shared" ref="W451:W514" si="66">I451*6</f>
        <v>2400000</v>
      </c>
      <c r="X451" s="34">
        <f t="shared" ref="X451:X514" si="67">I451*13</f>
        <v>5200000</v>
      </c>
    </row>
    <row r="452" spans="1:24">
      <c r="A452" t="s">
        <v>663</v>
      </c>
      <c r="B452" t="s">
        <v>624</v>
      </c>
      <c r="C452" t="s">
        <v>624</v>
      </c>
      <c r="D452" s="6" t="s">
        <v>305</v>
      </c>
      <c r="E452">
        <f t="shared" ca="1" si="60"/>
        <v>37</v>
      </c>
      <c r="F452" s="20">
        <v>32709</v>
      </c>
      <c r="G452" s="20">
        <v>44927</v>
      </c>
      <c r="H452" s="20">
        <v>46022</v>
      </c>
      <c r="I452" s="17">
        <v>350000</v>
      </c>
      <c r="J452" t="s">
        <v>664</v>
      </c>
      <c r="K452" s="6" t="s">
        <v>500</v>
      </c>
      <c r="L452">
        <v>1</v>
      </c>
      <c r="M452">
        <v>21</v>
      </c>
      <c r="N452" s="17">
        <v>3000000</v>
      </c>
      <c r="O452" s="24">
        <f t="shared" si="61"/>
        <v>10500000</v>
      </c>
      <c r="P452" t="s">
        <v>493</v>
      </c>
      <c r="Q452">
        <f t="shared" ca="1" si="62"/>
        <v>100000</v>
      </c>
      <c r="R452" t="s">
        <v>505</v>
      </c>
      <c r="S452">
        <v>1.83</v>
      </c>
      <c r="T452" s="20">
        <f t="shared" ca="1" si="63"/>
        <v>46296</v>
      </c>
      <c r="U452">
        <f t="shared" ca="1" si="65"/>
        <v>-274</v>
      </c>
      <c r="V452" t="str">
        <f t="shared" ca="1" si="64"/>
        <v>Pre contrato</v>
      </c>
      <c r="W452" s="34">
        <f t="shared" si="66"/>
        <v>2100000</v>
      </c>
      <c r="X452" s="34">
        <f t="shared" si="67"/>
        <v>4550000</v>
      </c>
    </row>
    <row r="453" spans="1:24">
      <c r="A453" t="s">
        <v>665</v>
      </c>
      <c r="B453" t="s">
        <v>624</v>
      </c>
      <c r="C453" t="s">
        <v>624</v>
      </c>
      <c r="D453" s="6" t="s">
        <v>342</v>
      </c>
      <c r="E453">
        <f t="shared" ca="1" si="60"/>
        <v>34</v>
      </c>
      <c r="F453" s="20">
        <v>33521</v>
      </c>
      <c r="G453" s="20">
        <v>44939</v>
      </c>
      <c r="H453" s="20">
        <v>46752</v>
      </c>
      <c r="I453" s="17">
        <v>250000</v>
      </c>
      <c r="J453" t="s">
        <v>637</v>
      </c>
      <c r="K453" s="6" t="s">
        <v>500</v>
      </c>
      <c r="L453">
        <v>0</v>
      </c>
      <c r="M453">
        <v>0</v>
      </c>
      <c r="N453" s="17">
        <v>2500000</v>
      </c>
      <c r="O453" s="24">
        <f t="shared" si="61"/>
        <v>8750000</v>
      </c>
      <c r="P453" t="s">
        <v>493</v>
      </c>
      <c r="Q453">
        <f t="shared" ca="1" si="62"/>
        <v>100000</v>
      </c>
      <c r="R453" t="s">
        <v>506</v>
      </c>
      <c r="S453">
        <v>1.8</v>
      </c>
      <c r="T453" s="20">
        <f t="shared" ca="1" si="63"/>
        <v>46296</v>
      </c>
      <c r="U453">
        <f t="shared" ca="1" si="65"/>
        <v>456</v>
      </c>
      <c r="V453" t="str">
        <f t="shared" ca="1" si="64"/>
        <v>Com Contrato em vigor</v>
      </c>
      <c r="W453" s="34">
        <f t="shared" si="66"/>
        <v>1500000</v>
      </c>
      <c r="X453" s="34">
        <f t="shared" si="67"/>
        <v>3250000</v>
      </c>
    </row>
    <row r="454" spans="1:24">
      <c r="A454" t="s">
        <v>889</v>
      </c>
      <c r="B454" t="s">
        <v>325</v>
      </c>
      <c r="C454" t="s">
        <v>325</v>
      </c>
      <c r="D454" s="6" t="s">
        <v>305</v>
      </c>
      <c r="E454">
        <f t="shared" ca="1" si="60"/>
        <v>27</v>
      </c>
      <c r="F454" s="20">
        <v>36251</v>
      </c>
      <c r="G454" s="20">
        <v>45473</v>
      </c>
      <c r="H454" s="20">
        <v>46387</v>
      </c>
      <c r="I454" s="17">
        <v>100000</v>
      </c>
      <c r="J454" t="s">
        <v>443</v>
      </c>
      <c r="K454" s="6" t="s">
        <v>495</v>
      </c>
      <c r="L454">
        <v>0</v>
      </c>
      <c r="M454">
        <v>0</v>
      </c>
      <c r="N454" s="17">
        <v>1500000</v>
      </c>
      <c r="O454" s="24">
        <f t="shared" si="61"/>
        <v>5250000</v>
      </c>
      <c r="P454" t="s">
        <v>493</v>
      </c>
      <c r="Q454">
        <f t="shared" ca="1" si="62"/>
        <v>120000</v>
      </c>
      <c r="R454" t="s">
        <v>506</v>
      </c>
      <c r="S454">
        <v>1.9</v>
      </c>
      <c r="T454" s="20">
        <f t="shared" ca="1" si="63"/>
        <v>46296</v>
      </c>
      <c r="U454">
        <f t="shared" ca="1" si="65"/>
        <v>91</v>
      </c>
      <c r="V454" t="str">
        <f t="shared" ca="1" si="64"/>
        <v>Pre contrato</v>
      </c>
      <c r="W454" s="34">
        <f t="shared" si="66"/>
        <v>600000</v>
      </c>
      <c r="X454" s="34">
        <f t="shared" si="67"/>
        <v>1300000</v>
      </c>
    </row>
    <row r="455" spans="1:24">
      <c r="A455" t="s">
        <v>890</v>
      </c>
      <c r="B455" t="s">
        <v>325</v>
      </c>
      <c r="C455" t="s">
        <v>325</v>
      </c>
      <c r="D455" s="6" t="s">
        <v>342</v>
      </c>
      <c r="E455">
        <f t="shared" ca="1" si="60"/>
        <v>38</v>
      </c>
      <c r="F455" s="20">
        <v>32218</v>
      </c>
      <c r="G455" s="20">
        <v>45301</v>
      </c>
      <c r="H455" s="20">
        <v>46022</v>
      </c>
      <c r="I455" s="17">
        <v>300000</v>
      </c>
      <c r="J455" t="s">
        <v>891</v>
      </c>
      <c r="K455" s="6" t="s">
        <v>495</v>
      </c>
      <c r="L455">
        <v>0</v>
      </c>
      <c r="M455">
        <v>0</v>
      </c>
      <c r="N455" s="17">
        <v>2100000</v>
      </c>
      <c r="O455" s="24">
        <f t="shared" si="61"/>
        <v>7350000</v>
      </c>
      <c r="P455" t="s">
        <v>493</v>
      </c>
      <c r="Q455">
        <f t="shared" ca="1" si="62"/>
        <v>100000</v>
      </c>
      <c r="R455" t="s">
        <v>506</v>
      </c>
      <c r="S455">
        <v>1.88</v>
      </c>
      <c r="T455" s="20">
        <f t="shared" ca="1" si="63"/>
        <v>46296</v>
      </c>
      <c r="U455">
        <f t="shared" ca="1" si="65"/>
        <v>-274</v>
      </c>
      <c r="V455" t="str">
        <f t="shared" ca="1" si="64"/>
        <v>Pre contrato</v>
      </c>
      <c r="W455" s="34">
        <f t="shared" si="66"/>
        <v>1800000</v>
      </c>
      <c r="X455" s="34">
        <f t="shared" si="67"/>
        <v>3900000</v>
      </c>
    </row>
    <row r="456" spans="1:24">
      <c r="A456" t="s">
        <v>233</v>
      </c>
      <c r="B456" t="s">
        <v>325</v>
      </c>
      <c r="C456" t="s">
        <v>325</v>
      </c>
      <c r="D456" s="6" t="s">
        <v>305</v>
      </c>
      <c r="E456">
        <f t="shared" ca="1" si="60"/>
        <v>26</v>
      </c>
      <c r="F456" s="20">
        <v>36614</v>
      </c>
      <c r="G456" s="20">
        <v>44256</v>
      </c>
      <c r="H456" s="20">
        <v>46387</v>
      </c>
      <c r="I456" s="17">
        <v>350000</v>
      </c>
      <c r="J456" t="s">
        <v>411</v>
      </c>
      <c r="K456" s="6" t="s">
        <v>495</v>
      </c>
      <c r="L456">
        <v>0</v>
      </c>
      <c r="M456">
        <v>0</v>
      </c>
      <c r="N456" s="17">
        <v>2000000</v>
      </c>
      <c r="O456" s="24">
        <f t="shared" si="61"/>
        <v>7000000</v>
      </c>
      <c r="P456" t="s">
        <v>493</v>
      </c>
      <c r="Q456">
        <f t="shared" ca="1" si="62"/>
        <v>120000</v>
      </c>
      <c r="R456" t="s">
        <v>506</v>
      </c>
      <c r="S456">
        <v>1.92</v>
      </c>
      <c r="T456" s="20">
        <f t="shared" ca="1" si="63"/>
        <v>46296</v>
      </c>
      <c r="U456">
        <f t="shared" ca="1" si="65"/>
        <v>91</v>
      </c>
      <c r="V456" t="str">
        <f t="shared" ca="1" si="64"/>
        <v>Pre contrato</v>
      </c>
      <c r="W456" s="34">
        <f t="shared" si="66"/>
        <v>2100000</v>
      </c>
      <c r="X456" s="34">
        <f t="shared" si="67"/>
        <v>4550000</v>
      </c>
    </row>
    <row r="457" spans="1:24">
      <c r="A457" t="s">
        <v>892</v>
      </c>
      <c r="B457" t="s">
        <v>325</v>
      </c>
      <c r="C457" t="s">
        <v>325</v>
      </c>
      <c r="D457" s="6" t="s">
        <v>305</v>
      </c>
      <c r="E457">
        <f t="shared" ca="1" si="60"/>
        <v>36</v>
      </c>
      <c r="F457" s="20">
        <v>33013</v>
      </c>
      <c r="G457" s="20">
        <v>45301</v>
      </c>
      <c r="H457" s="20">
        <v>46022</v>
      </c>
      <c r="I457" s="17">
        <v>400000</v>
      </c>
      <c r="J457" t="s">
        <v>348</v>
      </c>
      <c r="K457" s="6" t="s">
        <v>495</v>
      </c>
      <c r="L457">
        <v>0</v>
      </c>
      <c r="M457">
        <v>0</v>
      </c>
      <c r="N457" s="17">
        <v>500000</v>
      </c>
      <c r="O457" s="24">
        <f t="shared" si="61"/>
        <v>1750000</v>
      </c>
      <c r="P457" t="s">
        <v>493</v>
      </c>
      <c r="Q457">
        <f t="shared" ca="1" si="62"/>
        <v>100000</v>
      </c>
      <c r="R457" t="s">
        <v>506</v>
      </c>
      <c r="S457">
        <v>1.86</v>
      </c>
      <c r="T457" s="20">
        <f t="shared" ca="1" si="63"/>
        <v>46296</v>
      </c>
      <c r="U457">
        <f t="shared" ca="1" si="65"/>
        <v>-274</v>
      </c>
      <c r="V457" t="str">
        <f t="shared" ca="1" si="64"/>
        <v>Pre contrato</v>
      </c>
      <c r="W457" s="34">
        <f t="shared" si="66"/>
        <v>2400000</v>
      </c>
      <c r="X457" s="34">
        <f t="shared" si="67"/>
        <v>5200000</v>
      </c>
    </row>
    <row r="458" spans="1:24">
      <c r="A458" t="s">
        <v>893</v>
      </c>
      <c r="B458" t="s">
        <v>325</v>
      </c>
      <c r="C458" t="s">
        <v>325</v>
      </c>
      <c r="D458" s="6" t="s">
        <v>305</v>
      </c>
      <c r="E458">
        <f t="shared" ca="1" si="60"/>
        <v>41</v>
      </c>
      <c r="F458" s="20">
        <v>31311</v>
      </c>
      <c r="G458" s="20">
        <v>42370</v>
      </c>
      <c r="H458" s="20">
        <v>45657</v>
      </c>
      <c r="I458" s="17">
        <v>650000</v>
      </c>
      <c r="J458" t="s">
        <v>443</v>
      </c>
      <c r="K458" s="6" t="s">
        <v>492</v>
      </c>
      <c r="L458">
        <v>0</v>
      </c>
      <c r="M458">
        <v>0</v>
      </c>
      <c r="N458" s="17">
        <v>150000</v>
      </c>
      <c r="O458" s="24">
        <f t="shared" si="61"/>
        <v>525000</v>
      </c>
      <c r="P458" t="s">
        <v>493</v>
      </c>
      <c r="Q458">
        <f t="shared" ca="1" si="62"/>
        <v>100000</v>
      </c>
      <c r="R458" t="s">
        <v>506</v>
      </c>
      <c r="S458">
        <v>1.9</v>
      </c>
      <c r="T458" s="20">
        <f t="shared" ca="1" si="63"/>
        <v>46296</v>
      </c>
      <c r="U458">
        <f t="shared" ca="1" si="65"/>
        <v>-639</v>
      </c>
      <c r="V458" t="str">
        <f t="shared" ca="1" si="64"/>
        <v>Pre contrato</v>
      </c>
      <c r="W458" s="34">
        <f t="shared" si="66"/>
        <v>3900000</v>
      </c>
      <c r="X458" s="34">
        <f t="shared" si="67"/>
        <v>8450000</v>
      </c>
    </row>
    <row r="459" spans="1:24">
      <c r="A459" t="s">
        <v>894</v>
      </c>
      <c r="B459" t="s">
        <v>325</v>
      </c>
      <c r="C459" t="s">
        <v>325</v>
      </c>
      <c r="D459" s="6" t="s">
        <v>305</v>
      </c>
      <c r="E459">
        <f t="shared" ca="1" si="60"/>
        <v>25</v>
      </c>
      <c r="F459" s="20">
        <v>37047</v>
      </c>
      <c r="G459" s="20">
        <v>44927</v>
      </c>
      <c r="H459" s="20">
        <v>46387</v>
      </c>
      <c r="I459" s="17">
        <v>150000</v>
      </c>
      <c r="J459" t="s">
        <v>472</v>
      </c>
      <c r="K459" s="6" t="s">
        <v>492</v>
      </c>
      <c r="L459">
        <v>0</v>
      </c>
      <c r="M459">
        <v>0</v>
      </c>
      <c r="N459" s="17">
        <v>3000000</v>
      </c>
      <c r="O459" s="24">
        <f t="shared" si="61"/>
        <v>10500000</v>
      </c>
      <c r="P459" t="s">
        <v>493</v>
      </c>
      <c r="Q459">
        <f t="shared" ca="1" si="62"/>
        <v>120000</v>
      </c>
      <c r="R459" t="s">
        <v>506</v>
      </c>
      <c r="S459">
        <v>1.8</v>
      </c>
      <c r="T459" s="20">
        <f t="shared" ca="1" si="63"/>
        <v>46296</v>
      </c>
      <c r="U459">
        <f t="shared" ca="1" si="65"/>
        <v>91</v>
      </c>
      <c r="V459" t="str">
        <f t="shared" ca="1" si="64"/>
        <v>Pre contrato</v>
      </c>
      <c r="W459" s="34">
        <f t="shared" si="66"/>
        <v>900000</v>
      </c>
      <c r="X459" s="34">
        <f t="shared" si="67"/>
        <v>1950000</v>
      </c>
    </row>
    <row r="460" spans="1:24">
      <c r="A460" t="s">
        <v>895</v>
      </c>
      <c r="B460" t="s">
        <v>325</v>
      </c>
      <c r="C460" t="s">
        <v>325</v>
      </c>
      <c r="D460" s="6" t="s">
        <v>305</v>
      </c>
      <c r="E460">
        <f t="shared" ca="1" si="60"/>
        <v>32</v>
      </c>
      <c r="F460" s="20">
        <v>34276</v>
      </c>
      <c r="G460" s="20">
        <v>45140</v>
      </c>
      <c r="H460" s="20">
        <v>46022</v>
      </c>
      <c r="I460" s="17">
        <v>350000</v>
      </c>
      <c r="J460" t="s">
        <v>469</v>
      </c>
      <c r="K460" s="6" t="s">
        <v>492</v>
      </c>
      <c r="L460">
        <v>0</v>
      </c>
      <c r="M460">
        <v>0</v>
      </c>
      <c r="N460" s="17">
        <v>5000000</v>
      </c>
      <c r="O460" s="24">
        <f t="shared" si="61"/>
        <v>17500000</v>
      </c>
      <c r="P460" t="s">
        <v>493</v>
      </c>
      <c r="Q460">
        <f t="shared" ca="1" si="62"/>
        <v>100000</v>
      </c>
      <c r="R460" t="s">
        <v>506</v>
      </c>
      <c r="S460">
        <v>1.88</v>
      </c>
      <c r="T460" s="20">
        <f t="shared" ca="1" si="63"/>
        <v>46296</v>
      </c>
      <c r="U460">
        <f t="shared" ca="1" si="65"/>
        <v>-274</v>
      </c>
      <c r="V460" t="str">
        <f t="shared" ca="1" si="64"/>
        <v>Pre contrato</v>
      </c>
      <c r="W460" s="34">
        <f t="shared" si="66"/>
        <v>2100000</v>
      </c>
      <c r="X460" s="34">
        <f t="shared" si="67"/>
        <v>4550000</v>
      </c>
    </row>
    <row r="461" spans="1:24">
      <c r="A461" t="s">
        <v>896</v>
      </c>
      <c r="B461" t="s">
        <v>325</v>
      </c>
      <c r="C461" t="s">
        <v>325</v>
      </c>
      <c r="D461" s="6" t="s">
        <v>305</v>
      </c>
      <c r="E461">
        <f t="shared" ca="1" si="60"/>
        <v>33</v>
      </c>
      <c r="F461" s="20">
        <v>34198</v>
      </c>
      <c r="G461" s="20">
        <v>45301</v>
      </c>
      <c r="H461" s="20">
        <v>45657</v>
      </c>
      <c r="I461" s="17">
        <v>350000</v>
      </c>
      <c r="J461" t="s">
        <v>346</v>
      </c>
      <c r="K461" s="6" t="s">
        <v>492</v>
      </c>
      <c r="L461">
        <v>0</v>
      </c>
      <c r="M461">
        <v>0</v>
      </c>
      <c r="N461" s="17">
        <v>500000</v>
      </c>
      <c r="O461" s="24">
        <f t="shared" si="61"/>
        <v>1750000</v>
      </c>
      <c r="P461" t="s">
        <v>493</v>
      </c>
      <c r="Q461">
        <f t="shared" ca="1" si="62"/>
        <v>100000</v>
      </c>
      <c r="R461" t="s">
        <v>503</v>
      </c>
      <c r="S461">
        <v>1.82</v>
      </c>
      <c r="T461" s="20">
        <f t="shared" ca="1" si="63"/>
        <v>46296</v>
      </c>
      <c r="U461">
        <f t="shared" ca="1" si="65"/>
        <v>-639</v>
      </c>
      <c r="V461" t="str">
        <f t="shared" ca="1" si="64"/>
        <v>Pre contrato</v>
      </c>
      <c r="W461" s="34">
        <f t="shared" si="66"/>
        <v>2100000</v>
      </c>
      <c r="X461" s="34">
        <f t="shared" si="67"/>
        <v>4550000</v>
      </c>
    </row>
    <row r="462" spans="1:24">
      <c r="A462" t="s">
        <v>897</v>
      </c>
      <c r="B462" t="s">
        <v>325</v>
      </c>
      <c r="C462" t="s">
        <v>325</v>
      </c>
      <c r="D462" s="6" t="s">
        <v>305</v>
      </c>
      <c r="E462">
        <f t="shared" ca="1" si="60"/>
        <v>34</v>
      </c>
      <c r="F462" s="20">
        <v>33840</v>
      </c>
      <c r="G462" s="20">
        <v>45483</v>
      </c>
      <c r="H462" s="20">
        <v>46387</v>
      </c>
      <c r="I462" s="17">
        <v>600000</v>
      </c>
      <c r="J462" t="s">
        <v>468</v>
      </c>
      <c r="K462" s="6" t="s">
        <v>492</v>
      </c>
      <c r="L462">
        <v>0</v>
      </c>
      <c r="M462">
        <v>0</v>
      </c>
      <c r="N462" s="17">
        <v>4000000</v>
      </c>
      <c r="O462" s="24">
        <f t="shared" si="61"/>
        <v>14000000</v>
      </c>
      <c r="P462" t="s">
        <v>493</v>
      </c>
      <c r="Q462">
        <f t="shared" ca="1" si="62"/>
        <v>100000</v>
      </c>
      <c r="R462" t="s">
        <v>506</v>
      </c>
      <c r="S462">
        <v>1.84</v>
      </c>
      <c r="T462" s="20">
        <f t="shared" ca="1" si="63"/>
        <v>46296</v>
      </c>
      <c r="U462">
        <f t="shared" ca="1" si="65"/>
        <v>91</v>
      </c>
      <c r="V462" t="str">
        <f t="shared" ca="1" si="64"/>
        <v>Pre contrato</v>
      </c>
      <c r="W462" s="34">
        <f t="shared" si="66"/>
        <v>3600000</v>
      </c>
      <c r="X462" s="34">
        <f t="shared" si="67"/>
        <v>7800000</v>
      </c>
    </row>
    <row r="463" spans="1:24">
      <c r="A463" t="s">
        <v>898</v>
      </c>
      <c r="B463" t="s">
        <v>325</v>
      </c>
      <c r="C463" t="s">
        <v>325</v>
      </c>
      <c r="D463" s="6" t="s">
        <v>342</v>
      </c>
      <c r="E463">
        <f t="shared" ca="1" si="60"/>
        <v>35</v>
      </c>
      <c r="F463" s="20">
        <v>33311</v>
      </c>
      <c r="G463" s="20">
        <v>42566</v>
      </c>
      <c r="H463" s="20">
        <v>46022</v>
      </c>
      <c r="I463" s="17">
        <v>650000</v>
      </c>
      <c r="J463" t="s">
        <v>348</v>
      </c>
      <c r="K463" s="6" t="s">
        <v>899</v>
      </c>
      <c r="L463">
        <v>0</v>
      </c>
      <c r="M463">
        <v>0</v>
      </c>
      <c r="N463" s="17">
        <v>1000000</v>
      </c>
      <c r="O463" s="24">
        <f t="shared" si="61"/>
        <v>3500000</v>
      </c>
      <c r="P463" t="s">
        <v>493</v>
      </c>
      <c r="Q463">
        <f t="shared" ca="1" si="62"/>
        <v>100000</v>
      </c>
      <c r="R463" t="s">
        <v>507</v>
      </c>
      <c r="S463">
        <v>1.84</v>
      </c>
      <c r="T463" s="20">
        <f t="shared" ca="1" si="63"/>
        <v>46296</v>
      </c>
      <c r="U463">
        <f t="shared" ca="1" si="65"/>
        <v>-274</v>
      </c>
      <c r="V463" t="str">
        <f t="shared" ca="1" si="64"/>
        <v>Pre contrato</v>
      </c>
      <c r="W463" s="34">
        <f t="shared" si="66"/>
        <v>3900000</v>
      </c>
      <c r="X463" s="34">
        <f t="shared" si="67"/>
        <v>8450000</v>
      </c>
    </row>
    <row r="464" spans="1:24">
      <c r="A464" t="s">
        <v>900</v>
      </c>
      <c r="B464" t="s">
        <v>325</v>
      </c>
      <c r="C464" t="s">
        <v>325</v>
      </c>
      <c r="D464" s="6" t="s">
        <v>305</v>
      </c>
      <c r="E464">
        <f t="shared" ca="1" si="60"/>
        <v>37</v>
      </c>
      <c r="F464" s="20">
        <v>32779</v>
      </c>
      <c r="G464" s="20">
        <v>44927</v>
      </c>
      <c r="H464" s="20">
        <v>45657</v>
      </c>
      <c r="I464" s="17">
        <v>450000</v>
      </c>
      <c r="J464" t="s">
        <v>348</v>
      </c>
      <c r="K464" s="6" t="s">
        <v>496</v>
      </c>
      <c r="L464">
        <v>0</v>
      </c>
      <c r="M464">
        <v>0</v>
      </c>
      <c r="N464" s="17">
        <v>500000</v>
      </c>
      <c r="O464" s="24">
        <f t="shared" si="61"/>
        <v>1750000</v>
      </c>
      <c r="P464" t="s">
        <v>497</v>
      </c>
      <c r="Q464">
        <f t="shared" ca="1" si="62"/>
        <v>100000</v>
      </c>
      <c r="R464" t="s">
        <v>503</v>
      </c>
      <c r="S464">
        <v>1.78</v>
      </c>
      <c r="T464" s="20">
        <f t="shared" ca="1" si="63"/>
        <v>46296</v>
      </c>
      <c r="U464">
        <f t="shared" ca="1" si="65"/>
        <v>-639</v>
      </c>
      <c r="V464" t="str">
        <f t="shared" ca="1" si="64"/>
        <v>Pre contrato</v>
      </c>
      <c r="W464" s="34">
        <f t="shared" si="66"/>
        <v>2700000</v>
      </c>
      <c r="X464" s="34">
        <f t="shared" si="67"/>
        <v>5850000</v>
      </c>
    </row>
    <row r="465" spans="1:24">
      <c r="A465" t="s">
        <v>901</v>
      </c>
      <c r="B465" t="s">
        <v>325</v>
      </c>
      <c r="C465" t="s">
        <v>325</v>
      </c>
      <c r="D465" s="6" t="s">
        <v>305</v>
      </c>
      <c r="E465">
        <f t="shared" ca="1" si="60"/>
        <v>27</v>
      </c>
      <c r="F465" s="20">
        <v>36403</v>
      </c>
      <c r="G465" s="20">
        <v>45337</v>
      </c>
      <c r="H465" s="20">
        <v>46387</v>
      </c>
      <c r="I465" s="17">
        <v>200000</v>
      </c>
      <c r="J465" t="s">
        <v>844</v>
      </c>
      <c r="K465" s="6" t="s">
        <v>496</v>
      </c>
      <c r="L465">
        <v>0</v>
      </c>
      <c r="M465">
        <v>0</v>
      </c>
      <c r="N465" s="17">
        <v>1200000</v>
      </c>
      <c r="O465" s="24">
        <f t="shared" si="61"/>
        <v>4200000</v>
      </c>
      <c r="P465" t="s">
        <v>497</v>
      </c>
      <c r="Q465">
        <f t="shared" ca="1" si="62"/>
        <v>120000</v>
      </c>
      <c r="R465" t="s">
        <v>503</v>
      </c>
      <c r="S465">
        <v>1.72</v>
      </c>
      <c r="T465" s="20">
        <f t="shared" ca="1" si="63"/>
        <v>46296</v>
      </c>
      <c r="U465">
        <f t="shared" ca="1" si="65"/>
        <v>91</v>
      </c>
      <c r="V465" t="str">
        <f t="shared" ca="1" si="64"/>
        <v>Pre contrato</v>
      </c>
      <c r="W465" s="34">
        <f t="shared" si="66"/>
        <v>1200000</v>
      </c>
      <c r="X465" s="34">
        <f t="shared" si="67"/>
        <v>2600000</v>
      </c>
    </row>
    <row r="466" spans="1:24">
      <c r="A466" t="s">
        <v>902</v>
      </c>
      <c r="B466" t="s">
        <v>325</v>
      </c>
      <c r="C466" t="s">
        <v>325</v>
      </c>
      <c r="D466" s="6" t="s">
        <v>305</v>
      </c>
      <c r="E466">
        <f t="shared" ca="1" si="60"/>
        <v>36</v>
      </c>
      <c r="F466" s="20">
        <v>33063</v>
      </c>
      <c r="G466" s="20">
        <v>44935</v>
      </c>
      <c r="H466" s="20">
        <v>45657</v>
      </c>
      <c r="I466" s="17">
        <v>350000</v>
      </c>
      <c r="J466" t="s">
        <v>437</v>
      </c>
      <c r="K466" s="6" t="s">
        <v>498</v>
      </c>
      <c r="L466">
        <v>0</v>
      </c>
      <c r="M466">
        <v>0</v>
      </c>
      <c r="N466" s="17">
        <v>500000</v>
      </c>
      <c r="O466" s="24">
        <f t="shared" si="61"/>
        <v>1750000</v>
      </c>
      <c r="P466" t="s">
        <v>493</v>
      </c>
      <c r="Q466">
        <f t="shared" ca="1" si="62"/>
        <v>100000</v>
      </c>
      <c r="R466" t="s">
        <v>503</v>
      </c>
      <c r="S466">
        <v>1.72</v>
      </c>
      <c r="T466" s="20">
        <f t="shared" ca="1" si="63"/>
        <v>46296</v>
      </c>
      <c r="U466">
        <f t="shared" ca="1" si="65"/>
        <v>-639</v>
      </c>
      <c r="V466" t="str">
        <f t="shared" ca="1" si="64"/>
        <v>Pre contrato</v>
      </c>
      <c r="W466" s="34">
        <f t="shared" si="66"/>
        <v>2100000</v>
      </c>
      <c r="X466" s="34">
        <f t="shared" si="67"/>
        <v>4550000</v>
      </c>
    </row>
    <row r="467" spans="1:24">
      <c r="A467" t="s">
        <v>903</v>
      </c>
      <c r="B467" t="s">
        <v>325</v>
      </c>
      <c r="C467" t="s">
        <v>325</v>
      </c>
      <c r="D467" s="6" t="s">
        <v>305</v>
      </c>
      <c r="E467">
        <f t="shared" ca="1" si="60"/>
        <v>29</v>
      </c>
      <c r="F467" s="20">
        <v>35384</v>
      </c>
      <c r="G467" s="20">
        <v>44939</v>
      </c>
      <c r="H467" s="20">
        <v>46022</v>
      </c>
      <c r="I467" s="17">
        <v>450000</v>
      </c>
      <c r="J467" t="s">
        <v>732</v>
      </c>
      <c r="K467" s="6" t="s">
        <v>498</v>
      </c>
      <c r="L467">
        <v>0</v>
      </c>
      <c r="M467">
        <v>0</v>
      </c>
      <c r="N467" s="17">
        <v>7000000</v>
      </c>
      <c r="O467" s="24">
        <f t="shared" si="61"/>
        <v>24500000</v>
      </c>
      <c r="P467" t="s">
        <v>493</v>
      </c>
      <c r="Q467">
        <f t="shared" ca="1" si="62"/>
        <v>120000</v>
      </c>
      <c r="R467" t="s">
        <v>506</v>
      </c>
      <c r="S467">
        <v>1.79</v>
      </c>
      <c r="T467" s="20">
        <f t="shared" ca="1" si="63"/>
        <v>46296</v>
      </c>
      <c r="U467">
        <f t="shared" ca="1" si="65"/>
        <v>-274</v>
      </c>
      <c r="V467" t="str">
        <f t="shared" ca="1" si="64"/>
        <v>Pre contrato</v>
      </c>
      <c r="W467" s="34">
        <f t="shared" si="66"/>
        <v>2700000</v>
      </c>
      <c r="X467" s="34">
        <f t="shared" si="67"/>
        <v>5850000</v>
      </c>
    </row>
    <row r="468" spans="1:24">
      <c r="A468" t="s">
        <v>904</v>
      </c>
      <c r="B468" t="s">
        <v>325</v>
      </c>
      <c r="C468" t="s">
        <v>325</v>
      </c>
      <c r="D468" t="s">
        <v>312</v>
      </c>
      <c r="E468">
        <f t="shared" ca="1" si="60"/>
        <v>29</v>
      </c>
      <c r="F468" s="20">
        <v>35454</v>
      </c>
      <c r="G468" s="20">
        <v>44421</v>
      </c>
      <c r="H468" s="20">
        <v>46752</v>
      </c>
      <c r="I468" s="17">
        <v>700000</v>
      </c>
      <c r="J468" t="s">
        <v>446</v>
      </c>
      <c r="K468" s="6" t="s">
        <v>494</v>
      </c>
      <c r="L468">
        <v>1</v>
      </c>
      <c r="M468">
        <v>23</v>
      </c>
      <c r="N468" s="17">
        <v>18000000</v>
      </c>
      <c r="O468" s="24">
        <f t="shared" si="61"/>
        <v>63000000</v>
      </c>
      <c r="P468" t="s">
        <v>493</v>
      </c>
      <c r="Q468">
        <f t="shared" ca="1" si="62"/>
        <v>120000</v>
      </c>
      <c r="R468" t="s">
        <v>505</v>
      </c>
      <c r="S468">
        <v>1.78</v>
      </c>
      <c r="T468" s="20">
        <f t="shared" ca="1" si="63"/>
        <v>46296</v>
      </c>
      <c r="U468">
        <f t="shared" ca="1" si="65"/>
        <v>456</v>
      </c>
      <c r="V468" t="str">
        <f t="shared" ca="1" si="64"/>
        <v>Com Contrato em vigor</v>
      </c>
      <c r="W468" s="34">
        <f t="shared" si="66"/>
        <v>4200000</v>
      </c>
      <c r="X468" s="34">
        <f t="shared" si="67"/>
        <v>9100000</v>
      </c>
    </row>
    <row r="469" spans="1:24">
      <c r="A469" t="s">
        <v>905</v>
      </c>
      <c r="B469" t="s">
        <v>325</v>
      </c>
      <c r="C469" t="s">
        <v>325</v>
      </c>
      <c r="D469" s="6" t="s">
        <v>305</v>
      </c>
      <c r="E469">
        <f t="shared" ca="1" si="60"/>
        <v>30</v>
      </c>
      <c r="F469" s="20">
        <v>35172</v>
      </c>
      <c r="G469" s="20">
        <v>45292</v>
      </c>
      <c r="H469" s="20">
        <v>46387</v>
      </c>
      <c r="I469" s="17">
        <v>350000</v>
      </c>
      <c r="J469" t="s">
        <v>471</v>
      </c>
      <c r="K469" s="6" t="s">
        <v>494</v>
      </c>
      <c r="L469">
        <v>0</v>
      </c>
      <c r="M469">
        <v>0</v>
      </c>
      <c r="N469" s="17">
        <v>1400000</v>
      </c>
      <c r="O469" s="24">
        <f t="shared" si="61"/>
        <v>4900000</v>
      </c>
      <c r="P469" t="s">
        <v>493</v>
      </c>
      <c r="Q469">
        <f t="shared" ca="1" si="62"/>
        <v>120000</v>
      </c>
      <c r="R469" t="s">
        <v>506</v>
      </c>
      <c r="S469">
        <v>1.69</v>
      </c>
      <c r="T469" s="20">
        <f t="shared" ca="1" si="63"/>
        <v>46296</v>
      </c>
      <c r="U469">
        <f t="shared" ca="1" si="65"/>
        <v>91</v>
      </c>
      <c r="V469" t="str">
        <f t="shared" ca="1" si="64"/>
        <v>Pre contrato</v>
      </c>
      <c r="W469" s="34">
        <f t="shared" si="66"/>
        <v>2100000</v>
      </c>
      <c r="X469" s="34">
        <f t="shared" si="67"/>
        <v>4550000</v>
      </c>
    </row>
    <row r="470" spans="1:24">
      <c r="A470" t="s">
        <v>906</v>
      </c>
      <c r="B470" t="s">
        <v>325</v>
      </c>
      <c r="C470" t="s">
        <v>325</v>
      </c>
      <c r="D470" s="6" t="s">
        <v>305</v>
      </c>
      <c r="E470">
        <f t="shared" ca="1" si="60"/>
        <v>23</v>
      </c>
      <c r="F470" s="20">
        <v>37663</v>
      </c>
      <c r="G470" s="20">
        <v>44927</v>
      </c>
      <c r="H470" s="20">
        <v>46752</v>
      </c>
      <c r="I470" s="17">
        <v>400000</v>
      </c>
      <c r="J470" t="s">
        <v>346</v>
      </c>
      <c r="K470" s="6" t="s">
        <v>494</v>
      </c>
      <c r="L470">
        <v>1</v>
      </c>
      <c r="M470">
        <v>20</v>
      </c>
      <c r="N470" s="17">
        <v>4500000</v>
      </c>
      <c r="O470" s="24">
        <f t="shared" si="61"/>
        <v>15750000</v>
      </c>
      <c r="P470" t="s">
        <v>493</v>
      </c>
      <c r="Q470">
        <f t="shared" ca="1" si="62"/>
        <v>160000</v>
      </c>
      <c r="R470" t="s">
        <v>503</v>
      </c>
      <c r="S470">
        <v>1.86</v>
      </c>
      <c r="T470" s="20">
        <f t="shared" ca="1" si="63"/>
        <v>46296</v>
      </c>
      <c r="U470">
        <f t="shared" ca="1" si="65"/>
        <v>456</v>
      </c>
      <c r="V470" t="str">
        <f t="shared" ca="1" si="64"/>
        <v>Com Contrato em vigor</v>
      </c>
      <c r="W470" s="34">
        <f t="shared" si="66"/>
        <v>2400000</v>
      </c>
      <c r="X470" s="34">
        <f t="shared" si="67"/>
        <v>5200000</v>
      </c>
    </row>
    <row r="471" spans="1:24">
      <c r="A471" t="s">
        <v>907</v>
      </c>
      <c r="B471" t="s">
        <v>325</v>
      </c>
      <c r="C471" t="s">
        <v>325</v>
      </c>
      <c r="D471" s="6" t="s">
        <v>305</v>
      </c>
      <c r="E471">
        <f t="shared" ca="1" si="60"/>
        <v>26</v>
      </c>
      <c r="F471" s="20">
        <v>36532</v>
      </c>
      <c r="G471" s="20">
        <v>45108</v>
      </c>
      <c r="H471" s="20">
        <v>46934</v>
      </c>
      <c r="I471" s="17">
        <v>450000</v>
      </c>
      <c r="J471" t="s">
        <v>464</v>
      </c>
      <c r="K471" s="6" t="s">
        <v>494</v>
      </c>
      <c r="L471">
        <v>1</v>
      </c>
      <c r="M471">
        <v>10</v>
      </c>
      <c r="N471" s="17">
        <v>7500000</v>
      </c>
      <c r="O471" s="24">
        <f t="shared" si="61"/>
        <v>26250000</v>
      </c>
      <c r="P471" t="s">
        <v>493</v>
      </c>
      <c r="Q471">
        <f t="shared" ca="1" si="62"/>
        <v>120000</v>
      </c>
      <c r="R471" t="s">
        <v>503</v>
      </c>
      <c r="S471">
        <v>1.71</v>
      </c>
      <c r="T471" s="20">
        <f t="shared" ca="1" si="63"/>
        <v>46296</v>
      </c>
      <c r="U471">
        <f t="shared" ca="1" si="65"/>
        <v>638</v>
      </c>
      <c r="V471" t="str">
        <f t="shared" ca="1" si="64"/>
        <v>Com Contrato em vigor</v>
      </c>
      <c r="W471" s="34">
        <f t="shared" si="66"/>
        <v>2700000</v>
      </c>
      <c r="X471" s="34">
        <f t="shared" si="67"/>
        <v>5850000</v>
      </c>
    </row>
    <row r="472" spans="1:24">
      <c r="A472" t="s">
        <v>908</v>
      </c>
      <c r="B472" t="s">
        <v>325</v>
      </c>
      <c r="C472" t="s">
        <v>325</v>
      </c>
      <c r="D472" s="6" t="s">
        <v>305</v>
      </c>
      <c r="E472">
        <f t="shared" ca="1" si="60"/>
        <v>36</v>
      </c>
      <c r="F472" s="20">
        <v>32860</v>
      </c>
      <c r="G472" s="20">
        <v>45401</v>
      </c>
      <c r="H472" s="20">
        <v>46022</v>
      </c>
      <c r="I472" s="17">
        <v>700000</v>
      </c>
      <c r="J472" t="s">
        <v>364</v>
      </c>
      <c r="K472" s="6" t="s">
        <v>499</v>
      </c>
      <c r="L472">
        <v>3</v>
      </c>
      <c r="M472">
        <v>50</v>
      </c>
      <c r="N472" s="17">
        <v>1500000</v>
      </c>
      <c r="O472" s="24">
        <f t="shared" si="61"/>
        <v>5250000</v>
      </c>
      <c r="P472" t="s">
        <v>493</v>
      </c>
      <c r="Q472">
        <f t="shared" ca="1" si="62"/>
        <v>100000</v>
      </c>
      <c r="R472" t="s">
        <v>503</v>
      </c>
      <c r="S472">
        <v>1.75</v>
      </c>
      <c r="T472" s="20">
        <f t="shared" ca="1" si="63"/>
        <v>46296</v>
      </c>
      <c r="U472">
        <f t="shared" ca="1" si="65"/>
        <v>-274</v>
      </c>
      <c r="V472" t="str">
        <f t="shared" ca="1" si="64"/>
        <v>Pre contrato</v>
      </c>
      <c r="W472" s="34">
        <f t="shared" si="66"/>
        <v>4200000</v>
      </c>
      <c r="X472" s="34">
        <f t="shared" si="67"/>
        <v>9100000</v>
      </c>
    </row>
    <row r="473" spans="1:24">
      <c r="A473" t="s">
        <v>909</v>
      </c>
      <c r="B473" t="s">
        <v>325</v>
      </c>
      <c r="C473" t="s">
        <v>325</v>
      </c>
      <c r="D473" s="6" t="s">
        <v>319</v>
      </c>
      <c r="E473">
        <f t="shared" ca="1" si="60"/>
        <v>29</v>
      </c>
      <c r="F473" s="20">
        <v>35342</v>
      </c>
      <c r="G473" s="20">
        <v>45518</v>
      </c>
      <c r="H473" s="20">
        <v>46387</v>
      </c>
      <c r="I473" s="17">
        <v>550000</v>
      </c>
      <c r="J473" t="s">
        <v>910</v>
      </c>
      <c r="K473" s="6" t="s">
        <v>499</v>
      </c>
      <c r="L473">
        <v>0</v>
      </c>
      <c r="M473">
        <v>0</v>
      </c>
      <c r="N473" s="17">
        <v>8000000</v>
      </c>
      <c r="O473" s="24">
        <f t="shared" si="61"/>
        <v>28000000</v>
      </c>
      <c r="P473" t="s">
        <v>493</v>
      </c>
      <c r="Q473">
        <f t="shared" ca="1" si="62"/>
        <v>120000</v>
      </c>
      <c r="R473" t="s">
        <v>503</v>
      </c>
      <c r="S473">
        <v>1.77</v>
      </c>
      <c r="T473" s="20">
        <f t="shared" ca="1" si="63"/>
        <v>46296</v>
      </c>
      <c r="U473">
        <f t="shared" ca="1" si="65"/>
        <v>91</v>
      </c>
      <c r="V473" t="str">
        <f t="shared" ca="1" si="64"/>
        <v>Pre contrato</v>
      </c>
      <c r="W473" s="34">
        <f t="shared" si="66"/>
        <v>3300000</v>
      </c>
      <c r="X473" s="34">
        <f t="shared" si="67"/>
        <v>7150000</v>
      </c>
    </row>
    <row r="474" spans="1:24">
      <c r="A474" t="s">
        <v>911</v>
      </c>
      <c r="B474" t="s">
        <v>325</v>
      </c>
      <c r="C474" t="s">
        <v>325</v>
      </c>
      <c r="D474" s="6" t="s">
        <v>305</v>
      </c>
      <c r="E474">
        <f t="shared" ca="1" si="60"/>
        <v>28</v>
      </c>
      <c r="F474" s="20">
        <v>35801</v>
      </c>
      <c r="G474" s="20">
        <v>44927</v>
      </c>
      <c r="H474" s="20">
        <v>46022</v>
      </c>
      <c r="I474" s="17">
        <v>350000</v>
      </c>
      <c r="J474" t="s">
        <v>346</v>
      </c>
      <c r="K474" s="6" t="s">
        <v>499</v>
      </c>
      <c r="L474">
        <v>0</v>
      </c>
      <c r="M474">
        <v>0</v>
      </c>
      <c r="N474" s="17">
        <v>6000000</v>
      </c>
      <c r="O474" s="24">
        <f t="shared" si="61"/>
        <v>21000000</v>
      </c>
      <c r="P474" t="s">
        <v>493</v>
      </c>
      <c r="Q474">
        <f t="shared" ca="1" si="62"/>
        <v>120000</v>
      </c>
      <c r="R474" t="s">
        <v>503</v>
      </c>
      <c r="S474">
        <v>1.83</v>
      </c>
      <c r="T474" s="20">
        <f t="shared" ca="1" si="63"/>
        <v>46296</v>
      </c>
      <c r="U474">
        <f t="shared" ca="1" si="65"/>
        <v>-274</v>
      </c>
      <c r="V474" t="str">
        <f t="shared" ca="1" si="64"/>
        <v>Pre contrato</v>
      </c>
      <c r="W474" s="34">
        <f t="shared" si="66"/>
        <v>2100000</v>
      </c>
      <c r="X474" s="34">
        <f t="shared" si="67"/>
        <v>4550000</v>
      </c>
    </row>
    <row r="475" spans="1:24">
      <c r="A475" t="s">
        <v>912</v>
      </c>
      <c r="B475" t="s">
        <v>325</v>
      </c>
      <c r="C475" t="s">
        <v>325</v>
      </c>
      <c r="D475" s="6" t="s">
        <v>342</v>
      </c>
      <c r="E475">
        <f t="shared" ca="1" si="60"/>
        <v>30</v>
      </c>
      <c r="F475" s="20">
        <v>35292</v>
      </c>
      <c r="G475" s="20">
        <v>44927</v>
      </c>
      <c r="H475" s="20">
        <v>46387</v>
      </c>
      <c r="I475" s="17">
        <v>750000</v>
      </c>
      <c r="J475" t="s">
        <v>396</v>
      </c>
      <c r="K475" s="6" t="s">
        <v>499</v>
      </c>
      <c r="L475">
        <v>1</v>
      </c>
      <c r="M475">
        <v>30</v>
      </c>
      <c r="N475" s="17">
        <v>25000000</v>
      </c>
      <c r="O475" s="24">
        <f t="shared" si="61"/>
        <v>87500000</v>
      </c>
      <c r="P475" t="s">
        <v>493</v>
      </c>
      <c r="Q475">
        <f t="shared" ca="1" si="62"/>
        <v>120000</v>
      </c>
      <c r="R475" t="s">
        <v>506</v>
      </c>
      <c r="S475">
        <v>1.75</v>
      </c>
      <c r="T475" s="20">
        <f t="shared" ca="1" si="63"/>
        <v>46296</v>
      </c>
      <c r="U475">
        <f t="shared" ca="1" si="65"/>
        <v>91</v>
      </c>
      <c r="V475" t="str">
        <f t="shared" ca="1" si="64"/>
        <v>Pre contrato</v>
      </c>
      <c r="W475" s="34">
        <f t="shared" si="66"/>
        <v>4500000</v>
      </c>
      <c r="X475" s="34">
        <f t="shared" si="67"/>
        <v>9750000</v>
      </c>
    </row>
    <row r="476" spans="1:24">
      <c r="A476" t="s">
        <v>913</v>
      </c>
      <c r="B476" t="s">
        <v>325</v>
      </c>
      <c r="C476" t="s">
        <v>325</v>
      </c>
      <c r="D476" s="6" t="s">
        <v>305</v>
      </c>
      <c r="E476">
        <f t="shared" ca="1" si="60"/>
        <v>30</v>
      </c>
      <c r="F476" s="20">
        <v>35137</v>
      </c>
      <c r="G476" s="20">
        <v>45026</v>
      </c>
      <c r="H476" s="20">
        <v>46022</v>
      </c>
      <c r="I476" s="17">
        <v>500000</v>
      </c>
      <c r="J476" t="s">
        <v>400</v>
      </c>
      <c r="K476" s="6" t="s">
        <v>499</v>
      </c>
      <c r="L476">
        <v>0</v>
      </c>
      <c r="M476">
        <v>0</v>
      </c>
      <c r="N476" s="17">
        <v>1500000</v>
      </c>
      <c r="O476" s="24">
        <f t="shared" si="61"/>
        <v>5250000</v>
      </c>
      <c r="P476" t="s">
        <v>493</v>
      </c>
      <c r="Q476">
        <f t="shared" ca="1" si="62"/>
        <v>120000</v>
      </c>
      <c r="R476" t="s">
        <v>503</v>
      </c>
      <c r="S476">
        <v>1.77</v>
      </c>
      <c r="T476" s="20">
        <f t="shared" ca="1" si="63"/>
        <v>46296</v>
      </c>
      <c r="U476">
        <f t="shared" ca="1" si="65"/>
        <v>-274</v>
      </c>
      <c r="V476" t="str">
        <f t="shared" ca="1" si="64"/>
        <v>Pre contrato</v>
      </c>
      <c r="W476" s="34">
        <f t="shared" si="66"/>
        <v>3000000</v>
      </c>
      <c r="X476" s="34">
        <f t="shared" si="67"/>
        <v>6500000</v>
      </c>
    </row>
    <row r="477" spans="1:24">
      <c r="A477" t="s">
        <v>914</v>
      </c>
      <c r="B477" t="s">
        <v>325</v>
      </c>
      <c r="C477" t="s">
        <v>325</v>
      </c>
      <c r="D477" s="6" t="s">
        <v>318</v>
      </c>
      <c r="E477">
        <f t="shared" ca="1" si="60"/>
        <v>22</v>
      </c>
      <c r="F477" s="20">
        <v>38044</v>
      </c>
      <c r="G477" s="20">
        <v>45487</v>
      </c>
      <c r="H477" s="20">
        <v>47118</v>
      </c>
      <c r="I477" s="17">
        <v>600000</v>
      </c>
      <c r="J477" t="s">
        <v>915</v>
      </c>
      <c r="K477" s="6" t="s">
        <v>500</v>
      </c>
      <c r="L477">
        <v>0</v>
      </c>
      <c r="M477">
        <v>0</v>
      </c>
      <c r="N477" s="17">
        <v>12500000</v>
      </c>
      <c r="O477" s="24">
        <f t="shared" si="61"/>
        <v>43750000</v>
      </c>
      <c r="P477" t="s">
        <v>493</v>
      </c>
      <c r="Q477">
        <f t="shared" ca="1" si="62"/>
        <v>160000</v>
      </c>
      <c r="R477" t="s">
        <v>503</v>
      </c>
      <c r="S477">
        <v>1.78</v>
      </c>
      <c r="T477" s="20">
        <f t="shared" ca="1" si="63"/>
        <v>46296</v>
      </c>
      <c r="U477">
        <f t="shared" ca="1" si="65"/>
        <v>822</v>
      </c>
      <c r="V477" t="str">
        <f t="shared" ca="1" si="64"/>
        <v>Com Contrato em vigor</v>
      </c>
      <c r="W477" s="34">
        <f t="shared" si="66"/>
        <v>3600000</v>
      </c>
      <c r="X477" s="34">
        <f t="shared" si="67"/>
        <v>7800000</v>
      </c>
    </row>
    <row r="478" spans="1:24">
      <c r="A478" t="s">
        <v>916</v>
      </c>
      <c r="B478" t="s">
        <v>325</v>
      </c>
      <c r="C478" t="s">
        <v>917</v>
      </c>
      <c r="D478" s="6" t="s">
        <v>307</v>
      </c>
      <c r="E478">
        <f t="shared" ca="1" si="60"/>
        <v>29</v>
      </c>
      <c r="F478" s="20">
        <v>35611</v>
      </c>
      <c r="G478" s="20">
        <v>45110</v>
      </c>
      <c r="H478" s="20">
        <v>46568</v>
      </c>
      <c r="I478" s="17">
        <v>650000</v>
      </c>
      <c r="J478" t="s">
        <v>918</v>
      </c>
      <c r="K478" s="6" t="s">
        <v>500</v>
      </c>
      <c r="L478">
        <v>1</v>
      </c>
      <c r="M478">
        <v>23</v>
      </c>
      <c r="N478" s="17">
        <v>15000000</v>
      </c>
      <c r="O478" s="24">
        <f t="shared" si="61"/>
        <v>52500000</v>
      </c>
      <c r="P478" t="s">
        <v>493</v>
      </c>
      <c r="Q478">
        <f t="shared" ca="1" si="62"/>
        <v>120000</v>
      </c>
      <c r="R478" t="s">
        <v>503</v>
      </c>
      <c r="S478">
        <v>1.6</v>
      </c>
      <c r="T478" s="20">
        <f t="shared" ca="1" si="63"/>
        <v>46296</v>
      </c>
      <c r="U478">
        <f t="shared" ca="1" si="65"/>
        <v>272</v>
      </c>
      <c r="V478" t="str">
        <f t="shared" ca="1" si="64"/>
        <v>Com Contrato em vigor</v>
      </c>
      <c r="W478" s="34">
        <f t="shared" si="66"/>
        <v>3900000</v>
      </c>
      <c r="X478" s="34">
        <f t="shared" si="67"/>
        <v>8450000</v>
      </c>
    </row>
    <row r="479" spans="1:24">
      <c r="A479" t="s">
        <v>919</v>
      </c>
      <c r="B479" t="s">
        <v>325</v>
      </c>
      <c r="C479" t="s">
        <v>325</v>
      </c>
      <c r="D479" s="6" t="s">
        <v>322</v>
      </c>
      <c r="E479">
        <f t="shared" ca="1" si="60"/>
        <v>24</v>
      </c>
      <c r="F479" s="20">
        <v>37505</v>
      </c>
      <c r="G479" s="20">
        <v>45487</v>
      </c>
      <c r="H479" s="20">
        <v>47118</v>
      </c>
      <c r="I479" s="17">
        <v>400000</v>
      </c>
      <c r="J479" t="s">
        <v>404</v>
      </c>
      <c r="K479" s="6" t="s">
        <v>500</v>
      </c>
      <c r="L479">
        <v>0</v>
      </c>
      <c r="M479">
        <v>0</v>
      </c>
      <c r="N479" s="17">
        <v>8500000</v>
      </c>
      <c r="O479" s="24">
        <f t="shared" si="61"/>
        <v>29750000</v>
      </c>
      <c r="P479" t="s">
        <v>493</v>
      </c>
      <c r="Q479">
        <f t="shared" ca="1" si="62"/>
        <v>160000</v>
      </c>
      <c r="R479" t="s">
        <v>503</v>
      </c>
      <c r="S479">
        <v>1.78</v>
      </c>
      <c r="T479" s="20">
        <f t="shared" ca="1" si="63"/>
        <v>46296</v>
      </c>
      <c r="U479">
        <f t="shared" ca="1" si="65"/>
        <v>822</v>
      </c>
      <c r="V479" t="str">
        <f t="shared" ca="1" si="64"/>
        <v>Com Contrato em vigor</v>
      </c>
      <c r="W479" s="34">
        <f t="shared" si="66"/>
        <v>2400000</v>
      </c>
      <c r="X479" s="34">
        <f t="shared" si="67"/>
        <v>5200000</v>
      </c>
    </row>
    <row r="480" spans="1:24">
      <c r="A480" t="s">
        <v>920</v>
      </c>
      <c r="B480" t="s">
        <v>325</v>
      </c>
      <c r="C480" t="s">
        <v>325</v>
      </c>
      <c r="D480" s="6" t="s">
        <v>342</v>
      </c>
      <c r="E480">
        <f t="shared" ca="1" si="60"/>
        <v>30</v>
      </c>
      <c r="F480" s="20">
        <v>35085</v>
      </c>
      <c r="G480" s="20">
        <v>45338</v>
      </c>
      <c r="H480" s="20">
        <v>46387</v>
      </c>
      <c r="I480" s="17">
        <v>550000</v>
      </c>
      <c r="J480" t="s">
        <v>921</v>
      </c>
      <c r="K480" s="6" t="s">
        <v>500</v>
      </c>
      <c r="L480">
        <v>4</v>
      </c>
      <c r="M480">
        <v>65</v>
      </c>
      <c r="N480" s="17">
        <v>6000000</v>
      </c>
      <c r="O480" s="24">
        <f t="shared" si="61"/>
        <v>21000000</v>
      </c>
      <c r="P480" t="s">
        <v>493</v>
      </c>
      <c r="Q480">
        <f t="shared" ca="1" si="62"/>
        <v>120000</v>
      </c>
      <c r="R480" t="s">
        <v>503</v>
      </c>
      <c r="S480">
        <v>1.74</v>
      </c>
      <c r="T480" s="20">
        <f t="shared" ca="1" si="63"/>
        <v>46296</v>
      </c>
      <c r="U480">
        <f t="shared" ca="1" si="65"/>
        <v>91</v>
      </c>
      <c r="V480" t="str">
        <f t="shared" ca="1" si="64"/>
        <v>Pre contrato</v>
      </c>
      <c r="W480" s="34">
        <f t="shared" si="66"/>
        <v>3300000</v>
      </c>
      <c r="X480" s="34">
        <f t="shared" si="67"/>
        <v>7150000</v>
      </c>
    </row>
    <row r="481" spans="1:24">
      <c r="A481" t="s">
        <v>534</v>
      </c>
      <c r="B481" t="s">
        <v>325</v>
      </c>
      <c r="C481" t="s">
        <v>325</v>
      </c>
      <c r="D481" s="6" t="s">
        <v>305</v>
      </c>
      <c r="E481">
        <f t="shared" ca="1" si="60"/>
        <v>26</v>
      </c>
      <c r="F481" s="20">
        <v>36459</v>
      </c>
      <c r="G481" s="20">
        <v>45531</v>
      </c>
      <c r="H481" s="20">
        <v>46022</v>
      </c>
      <c r="I481" s="17">
        <v>350000</v>
      </c>
      <c r="J481" t="s">
        <v>443</v>
      </c>
      <c r="K481" s="6" t="s">
        <v>500</v>
      </c>
      <c r="L481">
        <v>2</v>
      </c>
      <c r="M481">
        <v>125</v>
      </c>
      <c r="N481" s="17">
        <v>2600000</v>
      </c>
      <c r="O481" s="24">
        <f t="shared" si="61"/>
        <v>9100000</v>
      </c>
      <c r="P481" t="s">
        <v>493</v>
      </c>
      <c r="Q481">
        <f t="shared" ca="1" si="62"/>
        <v>120000</v>
      </c>
      <c r="R481" t="s">
        <v>506</v>
      </c>
      <c r="S481">
        <v>1.79</v>
      </c>
      <c r="T481" s="20">
        <f t="shared" ca="1" si="63"/>
        <v>46296</v>
      </c>
      <c r="U481">
        <f t="shared" ca="1" si="65"/>
        <v>-274</v>
      </c>
      <c r="V481" t="str">
        <f t="shared" ca="1" si="64"/>
        <v>Pre contrato</v>
      </c>
      <c r="W481" s="34">
        <f t="shared" si="66"/>
        <v>2100000</v>
      </c>
      <c r="X481" s="34">
        <f t="shared" si="67"/>
        <v>4550000</v>
      </c>
    </row>
    <row r="482" spans="1:24">
      <c r="A482" t="s">
        <v>922</v>
      </c>
      <c r="B482" t="s">
        <v>325</v>
      </c>
      <c r="C482" t="s">
        <v>325</v>
      </c>
      <c r="D482" s="6" t="s">
        <v>305</v>
      </c>
      <c r="E482">
        <f t="shared" ca="1" si="60"/>
        <v>29</v>
      </c>
      <c r="F482" s="20">
        <v>35506</v>
      </c>
      <c r="G482" s="20">
        <v>45292</v>
      </c>
      <c r="H482" s="20">
        <v>46022</v>
      </c>
      <c r="I482" s="17">
        <v>250000</v>
      </c>
      <c r="J482" t="s">
        <v>802</v>
      </c>
      <c r="K482" s="6" t="s">
        <v>500</v>
      </c>
      <c r="L482">
        <v>0</v>
      </c>
      <c r="M482">
        <v>0</v>
      </c>
      <c r="N482" s="17">
        <v>1600000</v>
      </c>
      <c r="O482" s="24">
        <f t="shared" si="61"/>
        <v>5600000</v>
      </c>
      <c r="P482" t="s">
        <v>493</v>
      </c>
      <c r="Q482">
        <f t="shared" ca="1" si="62"/>
        <v>120000</v>
      </c>
      <c r="R482" t="s">
        <v>506</v>
      </c>
      <c r="S482">
        <v>1.77</v>
      </c>
      <c r="T482" s="20">
        <f t="shared" ca="1" si="63"/>
        <v>46296</v>
      </c>
      <c r="U482">
        <f t="shared" ca="1" si="65"/>
        <v>-274</v>
      </c>
      <c r="V482" t="str">
        <f t="shared" ca="1" si="64"/>
        <v>Pre contrato</v>
      </c>
      <c r="W482" s="34">
        <f t="shared" si="66"/>
        <v>1500000</v>
      </c>
      <c r="X482" s="34">
        <f t="shared" si="67"/>
        <v>3250000</v>
      </c>
    </row>
    <row r="483" spans="1:24">
      <c r="A483" t="s">
        <v>923</v>
      </c>
      <c r="B483" t="s">
        <v>325</v>
      </c>
      <c r="C483" t="s">
        <v>325</v>
      </c>
      <c r="D483" s="6" t="s">
        <v>305</v>
      </c>
      <c r="E483">
        <f t="shared" ca="1" si="60"/>
        <v>34</v>
      </c>
      <c r="F483" s="20">
        <v>33672</v>
      </c>
      <c r="G483" s="20">
        <v>45561</v>
      </c>
      <c r="H483" s="20">
        <v>45838</v>
      </c>
      <c r="I483" s="17">
        <v>150000</v>
      </c>
      <c r="J483" t="s">
        <v>924</v>
      </c>
      <c r="K483" s="6" t="s">
        <v>500</v>
      </c>
      <c r="L483">
        <v>0</v>
      </c>
      <c r="M483">
        <v>0</v>
      </c>
      <c r="N483" s="17">
        <v>3500000</v>
      </c>
      <c r="O483" s="24">
        <f t="shared" si="61"/>
        <v>12250000</v>
      </c>
      <c r="P483" t="s">
        <v>493</v>
      </c>
      <c r="Q483">
        <f t="shared" ca="1" si="62"/>
        <v>100000</v>
      </c>
      <c r="R483" t="s">
        <v>503</v>
      </c>
      <c r="S483">
        <v>1.84</v>
      </c>
      <c r="T483" s="20">
        <f t="shared" ca="1" si="63"/>
        <v>46296</v>
      </c>
      <c r="U483">
        <f t="shared" ref="U483:U514" ca="1" si="68">_xlfn.DAYS(H483,T483)</f>
        <v>-458</v>
      </c>
      <c r="V483" t="str">
        <f t="shared" ca="1" si="64"/>
        <v>Pre contrato</v>
      </c>
      <c r="W483" s="34">
        <f t="shared" si="66"/>
        <v>900000</v>
      </c>
      <c r="X483" s="34">
        <f t="shared" si="67"/>
        <v>1950000</v>
      </c>
    </row>
    <row r="484" spans="1:24">
      <c r="A484" t="s">
        <v>925</v>
      </c>
      <c r="B484" t="s">
        <v>325</v>
      </c>
      <c r="C484" t="s">
        <v>325</v>
      </c>
      <c r="D484" s="6" t="s">
        <v>926</v>
      </c>
      <c r="E484">
        <f t="shared" ca="1" si="60"/>
        <v>35</v>
      </c>
      <c r="F484" s="20">
        <v>33394</v>
      </c>
      <c r="G484" s="20">
        <v>45504</v>
      </c>
      <c r="H484" s="20">
        <v>46203</v>
      </c>
      <c r="I484" s="17">
        <v>1500000</v>
      </c>
      <c r="J484" t="s">
        <v>927</v>
      </c>
      <c r="K484" s="6" t="s">
        <v>500</v>
      </c>
      <c r="L484">
        <v>1</v>
      </c>
      <c r="M484">
        <v>10</v>
      </c>
      <c r="N484" s="17">
        <v>10000000</v>
      </c>
      <c r="O484" s="24">
        <f t="shared" si="61"/>
        <v>35000000</v>
      </c>
      <c r="P484" t="s">
        <v>493</v>
      </c>
      <c r="Q484">
        <f t="shared" ca="1" si="62"/>
        <v>100000</v>
      </c>
      <c r="R484" t="s">
        <v>506</v>
      </c>
      <c r="S484">
        <v>1.77</v>
      </c>
      <c r="T484" s="20">
        <f t="shared" ca="1" si="63"/>
        <v>46296</v>
      </c>
      <c r="U484">
        <f t="shared" ca="1" si="68"/>
        <v>-93</v>
      </c>
      <c r="V484" t="str">
        <f t="shared" ca="1" si="64"/>
        <v>Pre contrato</v>
      </c>
      <c r="W484" s="34">
        <f t="shared" si="66"/>
        <v>9000000</v>
      </c>
      <c r="X484" s="34">
        <f t="shared" si="67"/>
        <v>19500000</v>
      </c>
    </row>
    <row r="485" spans="1:24">
      <c r="A485" t="s">
        <v>928</v>
      </c>
      <c r="B485" t="s">
        <v>325</v>
      </c>
      <c r="C485" t="s">
        <v>325</v>
      </c>
      <c r="D485" s="6" t="s">
        <v>305</v>
      </c>
      <c r="E485">
        <f t="shared" ca="1" si="60"/>
        <v>23</v>
      </c>
      <c r="F485" s="20">
        <v>37581</v>
      </c>
      <c r="G485" s="20">
        <v>45492</v>
      </c>
      <c r="H485" s="20">
        <v>47118</v>
      </c>
      <c r="I485" s="17">
        <v>350000</v>
      </c>
      <c r="J485" t="s">
        <v>420</v>
      </c>
      <c r="K485" s="6" t="s">
        <v>500</v>
      </c>
      <c r="L485">
        <v>0</v>
      </c>
      <c r="M485">
        <v>0</v>
      </c>
      <c r="N485" s="17">
        <v>8000000</v>
      </c>
      <c r="O485" s="24">
        <f t="shared" si="61"/>
        <v>28000000</v>
      </c>
      <c r="P485" t="s">
        <v>493</v>
      </c>
      <c r="Q485">
        <f t="shared" ca="1" si="62"/>
        <v>160000</v>
      </c>
      <c r="R485" t="s">
        <v>506</v>
      </c>
      <c r="S485">
        <v>1.77</v>
      </c>
      <c r="T485" s="20">
        <f t="shared" ca="1" si="63"/>
        <v>46296</v>
      </c>
      <c r="U485">
        <f t="shared" ca="1" si="68"/>
        <v>822</v>
      </c>
      <c r="V485" t="str">
        <f t="shared" ca="1" si="64"/>
        <v>Com Contrato em vigor</v>
      </c>
      <c r="W485" s="34">
        <f t="shared" si="66"/>
        <v>2100000</v>
      </c>
      <c r="X485" s="34">
        <f t="shared" si="67"/>
        <v>4550000</v>
      </c>
    </row>
    <row r="486" spans="1:24">
      <c r="A486" t="s">
        <v>929</v>
      </c>
      <c r="B486" t="s">
        <v>325</v>
      </c>
      <c r="C486" t="s">
        <v>325</v>
      </c>
      <c r="D486" s="6" t="s">
        <v>305</v>
      </c>
      <c r="E486">
        <f t="shared" ca="1" si="60"/>
        <v>37</v>
      </c>
      <c r="F486" s="20">
        <v>32423</v>
      </c>
      <c r="G486" s="20">
        <v>45330</v>
      </c>
      <c r="H486" s="20">
        <v>45657</v>
      </c>
      <c r="I486" s="17">
        <v>500000</v>
      </c>
      <c r="J486" t="s">
        <v>348</v>
      </c>
      <c r="K486" s="6" t="s">
        <v>500</v>
      </c>
      <c r="L486">
        <v>0</v>
      </c>
      <c r="M486">
        <v>0</v>
      </c>
      <c r="N486" s="17">
        <v>200000</v>
      </c>
      <c r="O486" s="24">
        <f t="shared" si="61"/>
        <v>700000</v>
      </c>
      <c r="P486" t="s">
        <v>493</v>
      </c>
      <c r="Q486">
        <f t="shared" ca="1" si="62"/>
        <v>100000</v>
      </c>
      <c r="R486" t="s">
        <v>506</v>
      </c>
      <c r="S486">
        <v>1.86</v>
      </c>
      <c r="T486" s="20">
        <f t="shared" ca="1" si="63"/>
        <v>46296</v>
      </c>
      <c r="U486">
        <f t="shared" ca="1" si="68"/>
        <v>-639</v>
      </c>
      <c r="V486" t="str">
        <f t="shared" ca="1" si="64"/>
        <v>Pre contrato</v>
      </c>
      <c r="W486" s="34">
        <f t="shared" si="66"/>
        <v>3000000</v>
      </c>
      <c r="X486" s="34">
        <f t="shared" si="67"/>
        <v>6500000</v>
      </c>
    </row>
    <row r="487" spans="1:24">
      <c r="A487" s="6" t="s">
        <v>204</v>
      </c>
      <c r="B487" t="s">
        <v>328</v>
      </c>
      <c r="C487" s="6" t="s">
        <v>328</v>
      </c>
      <c r="D487" s="6" t="s">
        <v>305</v>
      </c>
      <c r="E487">
        <f t="shared" ca="1" si="60"/>
        <v>29</v>
      </c>
      <c r="F487" s="11">
        <v>35661</v>
      </c>
      <c r="G487" s="9">
        <v>43882</v>
      </c>
      <c r="H487" s="9">
        <v>46752</v>
      </c>
      <c r="I487" s="12">
        <v>800000</v>
      </c>
      <c r="J487" s="6" t="s">
        <v>348</v>
      </c>
      <c r="K487" s="6" t="s">
        <v>495</v>
      </c>
      <c r="L487" s="6">
        <v>0</v>
      </c>
      <c r="M487" s="6">
        <v>0</v>
      </c>
      <c r="N487" s="12">
        <v>15000000</v>
      </c>
      <c r="O487" s="24">
        <f t="shared" si="61"/>
        <v>52500000</v>
      </c>
      <c r="P487" s="6" t="s">
        <v>493</v>
      </c>
      <c r="Q487">
        <f t="shared" ca="1" si="62"/>
        <v>120000</v>
      </c>
      <c r="R487" s="6" t="s">
        <v>503</v>
      </c>
      <c r="S487" s="6">
        <v>1.9</v>
      </c>
      <c r="T487" s="9">
        <f t="shared" ca="1" si="63"/>
        <v>46296</v>
      </c>
      <c r="U487" s="6">
        <f t="shared" ca="1" si="68"/>
        <v>456</v>
      </c>
      <c r="V487" s="6" t="str">
        <f t="shared" ca="1" si="64"/>
        <v>Com Contrato em vigor</v>
      </c>
      <c r="W487" s="34">
        <f t="shared" si="66"/>
        <v>4800000</v>
      </c>
      <c r="X487" s="34">
        <f t="shared" si="67"/>
        <v>10400000</v>
      </c>
    </row>
    <row r="488" spans="1:24">
      <c r="A488" s="6" t="s">
        <v>205</v>
      </c>
      <c r="B488" t="s">
        <v>328</v>
      </c>
      <c r="C488" s="6" t="s">
        <v>328</v>
      </c>
      <c r="D488" s="6" t="s">
        <v>305</v>
      </c>
      <c r="E488">
        <f t="shared" ca="1" si="60"/>
        <v>25</v>
      </c>
      <c r="F488" s="11">
        <v>36948</v>
      </c>
      <c r="G488" s="9">
        <v>44603</v>
      </c>
      <c r="H488" s="9">
        <v>46387</v>
      </c>
      <c r="I488" s="12">
        <v>300000</v>
      </c>
      <c r="J488" s="6" t="s">
        <v>457</v>
      </c>
      <c r="K488" s="6" t="s">
        <v>495</v>
      </c>
      <c r="L488" s="6">
        <v>0</v>
      </c>
      <c r="M488" s="6">
        <v>0</v>
      </c>
      <c r="N488" s="12">
        <v>2000000</v>
      </c>
      <c r="O488" s="24">
        <f t="shared" si="61"/>
        <v>7000000</v>
      </c>
      <c r="P488" s="6" t="s">
        <v>493</v>
      </c>
      <c r="Q488">
        <f t="shared" ca="1" si="62"/>
        <v>120000</v>
      </c>
      <c r="R488" s="6" t="s">
        <v>506</v>
      </c>
      <c r="S488" s="6">
        <v>1.9</v>
      </c>
      <c r="T488" s="9">
        <f t="shared" ca="1" si="63"/>
        <v>46296</v>
      </c>
      <c r="U488" s="6">
        <f t="shared" ca="1" si="68"/>
        <v>91</v>
      </c>
      <c r="V488" s="6" t="str">
        <f t="shared" ca="1" si="64"/>
        <v>Pre contrato</v>
      </c>
      <c r="W488" s="34">
        <f t="shared" si="66"/>
        <v>1800000</v>
      </c>
      <c r="X488" s="34">
        <f t="shared" si="67"/>
        <v>3900000</v>
      </c>
    </row>
    <row r="489" spans="1:24">
      <c r="A489" s="6" t="s">
        <v>206</v>
      </c>
      <c r="B489" t="s">
        <v>328</v>
      </c>
      <c r="C489" s="6" t="s">
        <v>328</v>
      </c>
      <c r="D489" s="6" t="s">
        <v>305</v>
      </c>
      <c r="E489">
        <f t="shared" ca="1" si="60"/>
        <v>30</v>
      </c>
      <c r="F489" s="11">
        <v>34974</v>
      </c>
      <c r="G489" s="9">
        <v>45401</v>
      </c>
      <c r="H489" s="9">
        <v>46387</v>
      </c>
      <c r="I489" s="12">
        <v>400000</v>
      </c>
      <c r="J489" s="6" t="s">
        <v>458</v>
      </c>
      <c r="K489" s="6" t="s">
        <v>492</v>
      </c>
      <c r="L489" s="6">
        <v>2</v>
      </c>
      <c r="M489" s="6">
        <v>29</v>
      </c>
      <c r="N489" s="12">
        <v>9000000</v>
      </c>
      <c r="O489" s="24">
        <f t="shared" si="61"/>
        <v>31500000</v>
      </c>
      <c r="P489" s="6" t="s">
        <v>493</v>
      </c>
      <c r="Q489">
        <f t="shared" ca="1" si="62"/>
        <v>120000</v>
      </c>
      <c r="R489" s="6" t="s">
        <v>506</v>
      </c>
      <c r="S489" s="6">
        <v>1.88</v>
      </c>
      <c r="T489" s="9">
        <f t="shared" ca="1" si="63"/>
        <v>46296</v>
      </c>
      <c r="U489" s="6">
        <f t="shared" ca="1" si="68"/>
        <v>91</v>
      </c>
      <c r="V489" s="6" t="str">
        <f t="shared" ca="1" si="64"/>
        <v>Pre contrato</v>
      </c>
      <c r="W489" s="34">
        <f t="shared" si="66"/>
        <v>2400000</v>
      </c>
      <c r="X489" s="34">
        <f t="shared" si="67"/>
        <v>5200000</v>
      </c>
    </row>
    <row r="490" spans="1:24">
      <c r="A490" s="6" t="s">
        <v>207</v>
      </c>
      <c r="B490" t="s">
        <v>328</v>
      </c>
      <c r="C490" s="6" t="s">
        <v>328</v>
      </c>
      <c r="D490" s="6" t="s">
        <v>305</v>
      </c>
      <c r="E490">
        <f t="shared" ca="1" si="60"/>
        <v>22</v>
      </c>
      <c r="F490" s="11">
        <v>38151</v>
      </c>
      <c r="G490" s="9">
        <v>45302</v>
      </c>
      <c r="H490" s="9">
        <v>46934</v>
      </c>
      <c r="I490" s="12">
        <v>270000</v>
      </c>
      <c r="J490" s="6" t="s">
        <v>459</v>
      </c>
      <c r="K490" s="6" t="s">
        <v>492</v>
      </c>
      <c r="L490" s="6">
        <v>0</v>
      </c>
      <c r="M490" s="6">
        <v>0</v>
      </c>
      <c r="N490" s="12">
        <v>900000</v>
      </c>
      <c r="O490" s="24">
        <f t="shared" si="61"/>
        <v>3150000</v>
      </c>
      <c r="P490" s="6" t="s">
        <v>493</v>
      </c>
      <c r="Q490">
        <f t="shared" ca="1" si="62"/>
        <v>160000</v>
      </c>
      <c r="R490" s="6" t="s">
        <v>506</v>
      </c>
      <c r="S490" s="6">
        <v>1.89</v>
      </c>
      <c r="T490" s="9">
        <f t="shared" ca="1" si="63"/>
        <v>46296</v>
      </c>
      <c r="U490" s="6">
        <f t="shared" ca="1" si="68"/>
        <v>638</v>
      </c>
      <c r="V490" s="6" t="str">
        <f t="shared" ca="1" si="64"/>
        <v>Com Contrato em vigor</v>
      </c>
      <c r="W490" s="34">
        <f t="shared" si="66"/>
        <v>1620000</v>
      </c>
      <c r="X490" s="34">
        <f t="shared" si="67"/>
        <v>3510000</v>
      </c>
    </row>
    <row r="491" spans="1:24">
      <c r="A491" s="6" t="s">
        <v>208</v>
      </c>
      <c r="B491" t="s">
        <v>328</v>
      </c>
      <c r="C491" s="6" t="s">
        <v>328</v>
      </c>
      <c r="D491" s="6" t="s">
        <v>305</v>
      </c>
      <c r="E491">
        <f t="shared" ca="1" si="60"/>
        <v>29</v>
      </c>
      <c r="F491" s="11">
        <v>35453</v>
      </c>
      <c r="G491" s="9">
        <v>44958</v>
      </c>
      <c r="H491" s="9">
        <v>46387</v>
      </c>
      <c r="I491" s="12">
        <v>300000</v>
      </c>
      <c r="J491" s="6" t="s">
        <v>348</v>
      </c>
      <c r="K491" s="6" t="s">
        <v>492</v>
      </c>
      <c r="L491" s="6">
        <v>2</v>
      </c>
      <c r="M491" s="6">
        <v>18</v>
      </c>
      <c r="N491" s="12">
        <v>750000</v>
      </c>
      <c r="O491" s="24">
        <f t="shared" si="61"/>
        <v>2625000</v>
      </c>
      <c r="P491" s="6" t="s">
        <v>493</v>
      </c>
      <c r="Q491">
        <f t="shared" ca="1" si="62"/>
        <v>120000</v>
      </c>
      <c r="R491" s="6" t="s">
        <v>506</v>
      </c>
      <c r="S491" s="6">
        <v>1.86</v>
      </c>
      <c r="T491" s="9">
        <f t="shared" ca="1" si="63"/>
        <v>46296</v>
      </c>
      <c r="U491" s="6">
        <f t="shared" ca="1" si="68"/>
        <v>91</v>
      </c>
      <c r="V491" s="6" t="str">
        <f t="shared" ca="1" si="64"/>
        <v>Pre contrato</v>
      </c>
      <c r="W491" s="34">
        <f t="shared" si="66"/>
        <v>1800000</v>
      </c>
      <c r="X491" s="34">
        <f t="shared" si="67"/>
        <v>3900000</v>
      </c>
    </row>
    <row r="492" spans="1:24">
      <c r="A492" s="6" t="s">
        <v>209</v>
      </c>
      <c r="B492" t="s">
        <v>328</v>
      </c>
      <c r="C492" s="6" t="s">
        <v>328</v>
      </c>
      <c r="D492" s="6" t="s">
        <v>305</v>
      </c>
      <c r="E492">
        <f t="shared" ca="1" si="60"/>
        <v>28</v>
      </c>
      <c r="F492" s="11">
        <v>35762</v>
      </c>
      <c r="G492" s="9">
        <v>45292</v>
      </c>
      <c r="H492" s="9">
        <v>47116</v>
      </c>
      <c r="I492" s="12">
        <v>175000</v>
      </c>
      <c r="J492" s="6" t="s">
        <v>460</v>
      </c>
      <c r="K492" s="6" t="s">
        <v>492</v>
      </c>
      <c r="L492" s="6">
        <v>0</v>
      </c>
      <c r="M492" s="6">
        <v>0</v>
      </c>
      <c r="N492" s="12">
        <v>350000</v>
      </c>
      <c r="O492" s="24">
        <f t="shared" si="61"/>
        <v>1225000</v>
      </c>
      <c r="P492" s="6" t="s">
        <v>493</v>
      </c>
      <c r="Q492">
        <f t="shared" ca="1" si="62"/>
        <v>120000</v>
      </c>
      <c r="R492" s="6" t="s">
        <v>506</v>
      </c>
      <c r="S492" s="6">
        <v>1.96</v>
      </c>
      <c r="T492" s="9">
        <f t="shared" ca="1" si="63"/>
        <v>46296</v>
      </c>
      <c r="U492" s="6">
        <f t="shared" ca="1" si="68"/>
        <v>820</v>
      </c>
      <c r="V492" s="6" t="str">
        <f t="shared" ca="1" si="64"/>
        <v>Com Contrato em vigor</v>
      </c>
      <c r="W492" s="34">
        <f t="shared" si="66"/>
        <v>1050000</v>
      </c>
      <c r="X492" s="34">
        <f t="shared" si="67"/>
        <v>2275000</v>
      </c>
    </row>
    <row r="493" spans="1:24">
      <c r="A493" s="6" t="s">
        <v>210</v>
      </c>
      <c r="B493" t="s">
        <v>328</v>
      </c>
      <c r="C493" s="6" t="s">
        <v>328</v>
      </c>
      <c r="D493" s="6" t="s">
        <v>318</v>
      </c>
      <c r="E493">
        <f t="shared" ca="1" si="60"/>
        <v>21</v>
      </c>
      <c r="F493" s="11">
        <v>38397</v>
      </c>
      <c r="G493" s="9">
        <v>45537</v>
      </c>
      <c r="H493" s="9">
        <v>46267</v>
      </c>
      <c r="I493" s="12">
        <v>150000</v>
      </c>
      <c r="J493" s="6" t="s">
        <v>348</v>
      </c>
      <c r="K493" s="6" t="s">
        <v>492</v>
      </c>
      <c r="L493" s="6">
        <v>4</v>
      </c>
      <c r="M493" s="6">
        <v>25</v>
      </c>
      <c r="N493" s="12">
        <v>250000</v>
      </c>
      <c r="O493" s="24">
        <f t="shared" si="61"/>
        <v>875000</v>
      </c>
      <c r="P493" s="6" t="s">
        <v>493</v>
      </c>
      <c r="Q493">
        <f t="shared" ca="1" si="62"/>
        <v>160000</v>
      </c>
      <c r="R493" s="6" t="s">
        <v>503</v>
      </c>
      <c r="S493" s="6">
        <v>1.95</v>
      </c>
      <c r="T493" s="9">
        <f t="shared" ca="1" si="63"/>
        <v>46296</v>
      </c>
      <c r="U493" s="6">
        <f t="shared" ca="1" si="68"/>
        <v>-29</v>
      </c>
      <c r="V493" s="6" t="str">
        <f t="shared" ca="1" si="64"/>
        <v>Pre contrato</v>
      </c>
      <c r="W493" s="34">
        <f t="shared" si="66"/>
        <v>900000</v>
      </c>
      <c r="X493" s="34">
        <f t="shared" si="67"/>
        <v>1950000</v>
      </c>
    </row>
    <row r="494" spans="1:24">
      <c r="A494" s="6" t="s">
        <v>211</v>
      </c>
      <c r="B494" t="s">
        <v>328</v>
      </c>
      <c r="C494" s="6" t="s">
        <v>328</v>
      </c>
      <c r="D494" s="6" t="s">
        <v>305</v>
      </c>
      <c r="E494">
        <f t="shared" ca="1" si="60"/>
        <v>25</v>
      </c>
      <c r="F494" s="11">
        <v>36924</v>
      </c>
      <c r="G494" s="9">
        <v>44562</v>
      </c>
      <c r="H494" s="9">
        <v>46387</v>
      </c>
      <c r="I494" s="12">
        <v>600000</v>
      </c>
      <c r="J494" s="6" t="s">
        <v>348</v>
      </c>
      <c r="K494" s="6" t="s">
        <v>496</v>
      </c>
      <c r="L494" s="6">
        <v>2</v>
      </c>
      <c r="M494" s="6">
        <v>30</v>
      </c>
      <c r="N494" s="12">
        <v>900000</v>
      </c>
      <c r="O494" s="24">
        <f t="shared" si="61"/>
        <v>3150000</v>
      </c>
      <c r="P494" s="6" t="s">
        <v>497</v>
      </c>
      <c r="Q494">
        <f t="shared" ca="1" si="62"/>
        <v>120000</v>
      </c>
      <c r="R494" s="6" t="s">
        <v>503</v>
      </c>
      <c r="S494" s="6">
        <v>1.87</v>
      </c>
      <c r="T494" s="9">
        <f t="shared" ca="1" si="63"/>
        <v>46296</v>
      </c>
      <c r="U494" s="6">
        <f t="shared" ca="1" si="68"/>
        <v>91</v>
      </c>
      <c r="V494" s="6" t="str">
        <f t="shared" ca="1" si="64"/>
        <v>Pre contrato</v>
      </c>
      <c r="W494" s="34">
        <f t="shared" si="66"/>
        <v>3600000</v>
      </c>
      <c r="X494" s="34">
        <f t="shared" si="67"/>
        <v>7800000</v>
      </c>
    </row>
    <row r="495" spans="1:24">
      <c r="A495" s="6" t="s">
        <v>212</v>
      </c>
      <c r="B495" t="s">
        <v>328</v>
      </c>
      <c r="C495" s="6" t="s">
        <v>328</v>
      </c>
      <c r="D495" s="6" t="s">
        <v>305</v>
      </c>
      <c r="E495">
        <f t="shared" ca="1" si="60"/>
        <v>29</v>
      </c>
      <c r="F495" s="11">
        <v>35617</v>
      </c>
      <c r="G495" s="9">
        <v>44927</v>
      </c>
      <c r="H495" s="9">
        <v>46387</v>
      </c>
      <c r="I495" s="12">
        <v>750000</v>
      </c>
      <c r="J495" s="6" t="s">
        <v>402</v>
      </c>
      <c r="K495" s="6" t="s">
        <v>496</v>
      </c>
      <c r="L495" s="6">
        <v>0</v>
      </c>
      <c r="M495" s="6">
        <v>0</v>
      </c>
      <c r="N495" s="12">
        <v>500000</v>
      </c>
      <c r="O495" s="24">
        <f t="shared" si="61"/>
        <v>1750000</v>
      </c>
      <c r="P495" s="6" t="s">
        <v>497</v>
      </c>
      <c r="Q495">
        <f t="shared" ca="1" si="62"/>
        <v>120000</v>
      </c>
      <c r="R495" s="6" t="s">
        <v>506</v>
      </c>
      <c r="S495" s="6">
        <v>1.76</v>
      </c>
      <c r="T495" s="9">
        <f t="shared" ca="1" si="63"/>
        <v>46296</v>
      </c>
      <c r="U495" s="6">
        <f t="shared" ca="1" si="68"/>
        <v>91</v>
      </c>
      <c r="V495" s="6" t="str">
        <f t="shared" ca="1" si="64"/>
        <v>Pre contrato</v>
      </c>
      <c r="W495" s="34">
        <f t="shared" si="66"/>
        <v>4500000</v>
      </c>
      <c r="X495" s="34">
        <f t="shared" si="67"/>
        <v>9750000</v>
      </c>
    </row>
    <row r="496" spans="1:24">
      <c r="A496" s="6" t="s">
        <v>213</v>
      </c>
      <c r="B496" t="s">
        <v>328</v>
      </c>
      <c r="C496" s="6" t="s">
        <v>328</v>
      </c>
      <c r="D496" s="6" t="s">
        <v>305</v>
      </c>
      <c r="E496">
        <f t="shared" ca="1" si="60"/>
        <v>24</v>
      </c>
      <c r="F496" s="11">
        <v>37301</v>
      </c>
      <c r="G496" s="11">
        <v>44927</v>
      </c>
      <c r="H496" s="11">
        <v>46022</v>
      </c>
      <c r="I496" s="12">
        <v>120000</v>
      </c>
      <c r="J496" s="6" t="s">
        <v>348</v>
      </c>
      <c r="K496" s="6" t="s">
        <v>496</v>
      </c>
      <c r="L496" s="6">
        <v>0</v>
      </c>
      <c r="M496" s="6">
        <v>0</v>
      </c>
      <c r="N496" s="12">
        <v>200000</v>
      </c>
      <c r="O496" s="24">
        <f t="shared" si="61"/>
        <v>700000</v>
      </c>
      <c r="P496" s="6" t="s">
        <v>497</v>
      </c>
      <c r="Q496">
        <f t="shared" ca="1" si="62"/>
        <v>160000</v>
      </c>
      <c r="R496" s="6" t="s">
        <v>506</v>
      </c>
      <c r="S496" s="6">
        <v>1.78</v>
      </c>
      <c r="T496" s="9">
        <f t="shared" ca="1" si="63"/>
        <v>46296</v>
      </c>
      <c r="U496" s="6">
        <f t="shared" ca="1" si="68"/>
        <v>-274</v>
      </c>
      <c r="V496" s="6" t="str">
        <f t="shared" ca="1" si="64"/>
        <v>Pre contrato</v>
      </c>
      <c r="W496" s="34">
        <f t="shared" si="66"/>
        <v>720000</v>
      </c>
      <c r="X496" s="34">
        <f t="shared" si="67"/>
        <v>1560000</v>
      </c>
    </row>
    <row r="497" spans="1:24">
      <c r="A497" s="6" t="s">
        <v>214</v>
      </c>
      <c r="B497" t="s">
        <v>328</v>
      </c>
      <c r="C497" s="6" t="s">
        <v>328</v>
      </c>
      <c r="D497" s="6" t="s">
        <v>309</v>
      </c>
      <c r="E497">
        <f t="shared" ca="1" si="60"/>
        <v>24</v>
      </c>
      <c r="F497" s="11">
        <v>37248</v>
      </c>
      <c r="G497" s="9">
        <v>44579</v>
      </c>
      <c r="H497" s="9">
        <v>46752</v>
      </c>
      <c r="I497" s="12">
        <v>450000</v>
      </c>
      <c r="J497" s="6" t="s">
        <v>461</v>
      </c>
      <c r="K497" s="6" t="s">
        <v>498</v>
      </c>
      <c r="L497" s="6">
        <v>2</v>
      </c>
      <c r="M497" s="6">
        <v>31</v>
      </c>
      <c r="N497" s="12">
        <v>400000</v>
      </c>
      <c r="O497" s="24">
        <f t="shared" si="61"/>
        <v>1400000</v>
      </c>
      <c r="P497" s="6" t="s">
        <v>493</v>
      </c>
      <c r="Q497">
        <f t="shared" ca="1" si="62"/>
        <v>160000</v>
      </c>
      <c r="R497" s="6" t="s">
        <v>506</v>
      </c>
      <c r="S497" s="6">
        <v>1.78</v>
      </c>
      <c r="T497" s="9">
        <f t="shared" ca="1" si="63"/>
        <v>46296</v>
      </c>
      <c r="U497" s="6">
        <f t="shared" ca="1" si="68"/>
        <v>456</v>
      </c>
      <c r="V497" s="6" t="str">
        <f t="shared" ca="1" si="64"/>
        <v>Com Contrato em vigor</v>
      </c>
      <c r="W497" s="34">
        <f t="shared" si="66"/>
        <v>2700000</v>
      </c>
      <c r="X497" s="34">
        <f t="shared" si="67"/>
        <v>5850000</v>
      </c>
    </row>
    <row r="498" spans="1:24">
      <c r="A498" s="6" t="s">
        <v>215</v>
      </c>
      <c r="B498" t="s">
        <v>328</v>
      </c>
      <c r="C498" s="6" t="s">
        <v>328</v>
      </c>
      <c r="D498" s="6" t="s">
        <v>305</v>
      </c>
      <c r="E498">
        <f t="shared" ca="1" si="60"/>
        <v>24</v>
      </c>
      <c r="F498" s="11">
        <v>37487</v>
      </c>
      <c r="G498" s="9">
        <v>45302</v>
      </c>
      <c r="H498" s="9">
        <v>47118</v>
      </c>
      <c r="I498" s="12">
        <v>370000</v>
      </c>
      <c r="J498" s="6" t="s">
        <v>356</v>
      </c>
      <c r="K498" s="6" t="s">
        <v>498</v>
      </c>
      <c r="L498" s="6">
        <v>0</v>
      </c>
      <c r="M498" s="6">
        <v>0</v>
      </c>
      <c r="N498" s="12">
        <v>500000</v>
      </c>
      <c r="O498" s="24">
        <f t="shared" si="61"/>
        <v>1750000</v>
      </c>
      <c r="P498" s="6" t="s">
        <v>493</v>
      </c>
      <c r="Q498">
        <f t="shared" ca="1" si="62"/>
        <v>160000</v>
      </c>
      <c r="R498" s="6" t="s">
        <v>503</v>
      </c>
      <c r="S498" s="6">
        <v>1.82</v>
      </c>
      <c r="T498" s="9">
        <f t="shared" ca="1" si="63"/>
        <v>46296</v>
      </c>
      <c r="U498" s="6">
        <f t="shared" ca="1" si="68"/>
        <v>822</v>
      </c>
      <c r="V498" s="6" t="str">
        <f t="shared" ca="1" si="64"/>
        <v>Com Contrato em vigor</v>
      </c>
      <c r="W498" s="34">
        <f t="shared" si="66"/>
        <v>2220000</v>
      </c>
      <c r="X498" s="34">
        <f t="shared" si="67"/>
        <v>4810000</v>
      </c>
    </row>
    <row r="499" spans="1:24">
      <c r="A499" s="6" t="s">
        <v>216</v>
      </c>
      <c r="B499" t="s">
        <v>328</v>
      </c>
      <c r="C499" s="6" t="s">
        <v>328</v>
      </c>
      <c r="D499" s="6" t="s">
        <v>305</v>
      </c>
      <c r="E499">
        <f t="shared" ca="1" si="60"/>
        <v>25</v>
      </c>
      <c r="F499" s="11">
        <v>37031</v>
      </c>
      <c r="G499" s="9">
        <v>44246</v>
      </c>
      <c r="H499" s="9">
        <v>46022</v>
      </c>
      <c r="I499" s="12">
        <v>700000</v>
      </c>
      <c r="J499" s="6" t="s">
        <v>352</v>
      </c>
      <c r="K499" s="6" t="s">
        <v>494</v>
      </c>
      <c r="L499" s="6">
        <v>2</v>
      </c>
      <c r="M499" s="6">
        <v>27</v>
      </c>
      <c r="N499" s="12">
        <v>650000</v>
      </c>
      <c r="O499" s="24">
        <f t="shared" si="61"/>
        <v>2275000</v>
      </c>
      <c r="P499" s="6" t="s">
        <v>493</v>
      </c>
      <c r="Q499">
        <f t="shared" ca="1" si="62"/>
        <v>120000</v>
      </c>
      <c r="R499" s="6" t="s">
        <v>506</v>
      </c>
      <c r="S499" s="6">
        <v>1.76</v>
      </c>
      <c r="T499" s="9">
        <f t="shared" ca="1" si="63"/>
        <v>46296</v>
      </c>
      <c r="U499" s="6">
        <f t="shared" ca="1" si="68"/>
        <v>-274</v>
      </c>
      <c r="V499" s="6" t="str">
        <f t="shared" ca="1" si="64"/>
        <v>Pre contrato</v>
      </c>
      <c r="W499" s="34">
        <f t="shared" si="66"/>
        <v>4200000</v>
      </c>
      <c r="X499" s="34">
        <f t="shared" si="67"/>
        <v>9100000</v>
      </c>
    </row>
    <row r="500" spans="1:24">
      <c r="A500" s="6" t="s">
        <v>217</v>
      </c>
      <c r="B500" t="s">
        <v>328</v>
      </c>
      <c r="C500" s="6" t="s">
        <v>328</v>
      </c>
      <c r="D500" s="6" t="s">
        <v>305</v>
      </c>
      <c r="E500">
        <f t="shared" ca="1" si="60"/>
        <v>28</v>
      </c>
      <c r="F500" s="11">
        <v>35976</v>
      </c>
      <c r="G500" s="9">
        <v>45292</v>
      </c>
      <c r="H500" s="9">
        <v>46752</v>
      </c>
      <c r="I500" s="12">
        <v>500000</v>
      </c>
      <c r="J500" s="6" t="s">
        <v>357</v>
      </c>
      <c r="K500" s="6" t="s">
        <v>494</v>
      </c>
      <c r="L500" s="6">
        <v>0</v>
      </c>
      <c r="M500" s="6">
        <v>0</v>
      </c>
      <c r="N500" s="12">
        <v>250000</v>
      </c>
      <c r="O500" s="24">
        <f t="shared" si="61"/>
        <v>875000</v>
      </c>
      <c r="P500" s="6" t="s">
        <v>493</v>
      </c>
      <c r="Q500">
        <f t="shared" ca="1" si="62"/>
        <v>120000</v>
      </c>
      <c r="R500" s="6" t="s">
        <v>506</v>
      </c>
      <c r="S500" s="6">
        <v>1.83</v>
      </c>
      <c r="T500" s="9">
        <f t="shared" ca="1" si="63"/>
        <v>46296</v>
      </c>
      <c r="U500" s="6">
        <f t="shared" ca="1" si="68"/>
        <v>456</v>
      </c>
      <c r="V500" s="6" t="str">
        <f t="shared" ca="1" si="64"/>
        <v>Com Contrato em vigor</v>
      </c>
      <c r="W500" s="34">
        <f t="shared" si="66"/>
        <v>3000000</v>
      </c>
      <c r="X500" s="34">
        <f t="shared" si="67"/>
        <v>6500000</v>
      </c>
    </row>
    <row r="501" spans="1:24">
      <c r="A501" s="6" t="s">
        <v>218</v>
      </c>
      <c r="B501" t="s">
        <v>328</v>
      </c>
      <c r="C501" s="6" t="s">
        <v>328</v>
      </c>
      <c r="D501" s="6" t="s">
        <v>305</v>
      </c>
      <c r="E501">
        <f t="shared" ca="1" si="60"/>
        <v>30</v>
      </c>
      <c r="F501" s="11">
        <v>35257</v>
      </c>
      <c r="G501" s="9">
        <v>44074</v>
      </c>
      <c r="H501" s="9">
        <v>45657</v>
      </c>
      <c r="I501" s="12">
        <v>450000</v>
      </c>
      <c r="J501" s="6" t="s">
        <v>400</v>
      </c>
      <c r="K501" s="6" t="s">
        <v>494</v>
      </c>
      <c r="L501" s="6">
        <v>1</v>
      </c>
      <c r="M501" s="6">
        <v>14</v>
      </c>
      <c r="N501" s="12">
        <v>750000</v>
      </c>
      <c r="O501" s="24">
        <f t="shared" si="61"/>
        <v>2625000</v>
      </c>
      <c r="P501" s="6" t="s">
        <v>493</v>
      </c>
      <c r="Q501">
        <f t="shared" ca="1" si="62"/>
        <v>120000</v>
      </c>
      <c r="R501" s="6" t="s">
        <v>503</v>
      </c>
      <c r="S501" s="6">
        <v>1.8</v>
      </c>
      <c r="T501" s="9">
        <f t="shared" ca="1" si="63"/>
        <v>46296</v>
      </c>
      <c r="U501" s="6">
        <f t="shared" ca="1" si="68"/>
        <v>-639</v>
      </c>
      <c r="V501" s="6" t="str">
        <f t="shared" ca="1" si="64"/>
        <v>Pre contrato</v>
      </c>
      <c r="W501" s="34">
        <f t="shared" si="66"/>
        <v>2700000</v>
      </c>
      <c r="X501" s="34">
        <f t="shared" si="67"/>
        <v>5850000</v>
      </c>
    </row>
    <row r="502" spans="1:24">
      <c r="A502" s="6" t="s">
        <v>219</v>
      </c>
      <c r="B502" t="s">
        <v>328</v>
      </c>
      <c r="C502" s="6" t="s">
        <v>328</v>
      </c>
      <c r="D502" s="6" t="s">
        <v>305</v>
      </c>
      <c r="E502">
        <f t="shared" ca="1" si="60"/>
        <v>26</v>
      </c>
      <c r="F502" s="11">
        <v>36748</v>
      </c>
      <c r="G502" s="9">
        <v>44580</v>
      </c>
      <c r="H502" s="9">
        <v>46387</v>
      </c>
      <c r="I502" s="12">
        <v>850000</v>
      </c>
      <c r="J502" s="6" t="s">
        <v>379</v>
      </c>
      <c r="K502" s="6" t="s">
        <v>499</v>
      </c>
      <c r="L502" s="6">
        <v>0</v>
      </c>
      <c r="M502" s="6">
        <v>0</v>
      </c>
      <c r="N502" s="12">
        <v>7000000</v>
      </c>
      <c r="O502" s="24">
        <f t="shared" si="61"/>
        <v>24500000</v>
      </c>
      <c r="P502" s="6" t="s">
        <v>493</v>
      </c>
      <c r="Q502">
        <f t="shared" ca="1" si="62"/>
        <v>120000</v>
      </c>
      <c r="R502" s="6" t="s">
        <v>503</v>
      </c>
      <c r="S502" s="6">
        <v>1.72</v>
      </c>
      <c r="T502" s="9">
        <f t="shared" ca="1" si="63"/>
        <v>46296</v>
      </c>
      <c r="U502" s="6">
        <f t="shared" ca="1" si="68"/>
        <v>91</v>
      </c>
      <c r="V502" s="6" t="str">
        <f t="shared" ca="1" si="64"/>
        <v>Pre contrato</v>
      </c>
      <c r="W502" s="34">
        <f t="shared" si="66"/>
        <v>5100000</v>
      </c>
      <c r="X502" s="34">
        <f t="shared" si="67"/>
        <v>11050000</v>
      </c>
    </row>
    <row r="503" spans="1:24">
      <c r="A503" s="6" t="s">
        <v>220</v>
      </c>
      <c r="B503" t="s">
        <v>328</v>
      </c>
      <c r="C503" s="6" t="s">
        <v>328</v>
      </c>
      <c r="D503" s="6" t="s">
        <v>305</v>
      </c>
      <c r="E503">
        <f t="shared" ca="1" si="60"/>
        <v>31</v>
      </c>
      <c r="F503" s="11">
        <v>34825</v>
      </c>
      <c r="G503" s="9">
        <v>44378</v>
      </c>
      <c r="H503" s="9">
        <v>46203</v>
      </c>
      <c r="I503" s="12">
        <v>689000</v>
      </c>
      <c r="J503" s="6" t="s">
        <v>352</v>
      </c>
      <c r="K503" s="6" t="s">
        <v>499</v>
      </c>
      <c r="L503" s="6">
        <v>0</v>
      </c>
      <c r="M503" s="6">
        <v>0</v>
      </c>
      <c r="N503" s="12">
        <v>4000000</v>
      </c>
      <c r="O503" s="24">
        <f t="shared" si="61"/>
        <v>14000000</v>
      </c>
      <c r="P503" s="6" t="s">
        <v>497</v>
      </c>
      <c r="Q503">
        <f t="shared" ca="1" si="62"/>
        <v>100000</v>
      </c>
      <c r="R503" s="6" t="s">
        <v>506</v>
      </c>
      <c r="S503" s="6">
        <v>1.81</v>
      </c>
      <c r="T503" s="9">
        <f t="shared" ca="1" si="63"/>
        <v>46296</v>
      </c>
      <c r="U503" s="6">
        <f t="shared" ca="1" si="68"/>
        <v>-93</v>
      </c>
      <c r="V503" s="6" t="str">
        <f t="shared" ca="1" si="64"/>
        <v>Pre contrato</v>
      </c>
      <c r="W503" s="34">
        <f t="shared" si="66"/>
        <v>4134000</v>
      </c>
      <c r="X503" s="34">
        <f t="shared" si="67"/>
        <v>8957000</v>
      </c>
    </row>
    <row r="504" spans="1:24">
      <c r="A504" s="6" t="s">
        <v>221</v>
      </c>
      <c r="B504" t="s">
        <v>328</v>
      </c>
      <c r="C504" s="6" t="s">
        <v>328</v>
      </c>
      <c r="D504" s="6" t="s">
        <v>305</v>
      </c>
      <c r="E504">
        <f t="shared" ca="1" si="60"/>
        <v>22</v>
      </c>
      <c r="F504" s="11">
        <v>38100</v>
      </c>
      <c r="G504" s="9">
        <v>44927</v>
      </c>
      <c r="H504" s="9">
        <v>46752</v>
      </c>
      <c r="I504" s="12">
        <v>400000</v>
      </c>
      <c r="J504" s="6" t="s">
        <v>462</v>
      </c>
      <c r="K504" s="6" t="s">
        <v>499</v>
      </c>
      <c r="L504" s="6">
        <v>0</v>
      </c>
      <c r="M504" s="6">
        <v>0</v>
      </c>
      <c r="N504" s="12">
        <v>5500000</v>
      </c>
      <c r="O504" s="24">
        <f t="shared" si="61"/>
        <v>19250000</v>
      </c>
      <c r="P504" s="6" t="s">
        <v>493</v>
      </c>
      <c r="Q504">
        <f t="shared" ca="1" si="62"/>
        <v>160000</v>
      </c>
      <c r="R504" s="6" t="s">
        <v>506</v>
      </c>
      <c r="S504" s="6">
        <v>1.76</v>
      </c>
      <c r="T504" s="9">
        <f t="shared" ca="1" si="63"/>
        <v>46296</v>
      </c>
      <c r="U504" s="6">
        <f t="shared" ca="1" si="68"/>
        <v>456</v>
      </c>
      <c r="V504" s="6" t="str">
        <f t="shared" ca="1" si="64"/>
        <v>Com Contrato em vigor</v>
      </c>
      <c r="W504" s="34">
        <f t="shared" si="66"/>
        <v>2400000</v>
      </c>
      <c r="X504" s="34">
        <f t="shared" si="67"/>
        <v>5200000</v>
      </c>
    </row>
    <row r="505" spans="1:24">
      <c r="A505" s="6" t="s">
        <v>222</v>
      </c>
      <c r="B505" t="s">
        <v>328</v>
      </c>
      <c r="C505" s="6" t="s">
        <v>328</v>
      </c>
      <c r="D505" s="6" t="s">
        <v>305</v>
      </c>
      <c r="E505">
        <f t="shared" ca="1" si="60"/>
        <v>23</v>
      </c>
      <c r="F505" s="11">
        <v>37762</v>
      </c>
      <c r="G505" s="9">
        <v>45537</v>
      </c>
      <c r="H505" s="9">
        <v>46996</v>
      </c>
      <c r="I505" s="12">
        <v>75000</v>
      </c>
      <c r="J505" s="6" t="s">
        <v>463</v>
      </c>
      <c r="K505" s="6" t="s">
        <v>499</v>
      </c>
      <c r="L505" s="6">
        <v>0</v>
      </c>
      <c r="M505" s="6">
        <v>0</v>
      </c>
      <c r="N505" s="12">
        <v>100000</v>
      </c>
      <c r="O505" s="24">
        <f t="shared" si="61"/>
        <v>350000</v>
      </c>
      <c r="P505" s="6" t="s">
        <v>493</v>
      </c>
      <c r="Q505">
        <f t="shared" ca="1" si="62"/>
        <v>160000</v>
      </c>
      <c r="R505" s="6" t="s">
        <v>503</v>
      </c>
      <c r="S505" s="6">
        <v>1.86</v>
      </c>
      <c r="T505" s="9">
        <f t="shared" ca="1" si="63"/>
        <v>46296</v>
      </c>
      <c r="U505" s="6">
        <f t="shared" ca="1" si="68"/>
        <v>700</v>
      </c>
      <c r="V505" s="6" t="str">
        <f t="shared" ca="1" si="64"/>
        <v>Com Contrato em vigor</v>
      </c>
      <c r="W505" s="34">
        <f t="shared" si="66"/>
        <v>450000</v>
      </c>
      <c r="X505" s="34">
        <f t="shared" si="67"/>
        <v>975000</v>
      </c>
    </row>
    <row r="506" spans="1:24">
      <c r="A506" s="6" t="s">
        <v>223</v>
      </c>
      <c r="B506" t="s">
        <v>328</v>
      </c>
      <c r="C506" s="6" t="s">
        <v>329</v>
      </c>
      <c r="D506" s="6" t="s">
        <v>305</v>
      </c>
      <c r="E506">
        <f t="shared" ca="1" si="60"/>
        <v>24</v>
      </c>
      <c r="F506" s="11">
        <v>37508</v>
      </c>
      <c r="G506" s="9">
        <v>45488</v>
      </c>
      <c r="H506" s="9">
        <v>47299</v>
      </c>
      <c r="I506" s="12">
        <v>500000</v>
      </c>
      <c r="J506" s="6" t="s">
        <v>390</v>
      </c>
      <c r="K506" s="6" t="s">
        <v>499</v>
      </c>
      <c r="L506" s="6">
        <v>0</v>
      </c>
      <c r="M506" s="6">
        <v>0</v>
      </c>
      <c r="N506" s="12">
        <v>7500000</v>
      </c>
      <c r="O506" s="24">
        <f t="shared" si="61"/>
        <v>26250000</v>
      </c>
      <c r="P506" s="6" t="s">
        <v>493</v>
      </c>
      <c r="Q506">
        <f t="shared" ca="1" si="62"/>
        <v>160000</v>
      </c>
      <c r="R506" s="6" t="s">
        <v>503</v>
      </c>
      <c r="S506" s="6">
        <v>1.78</v>
      </c>
      <c r="T506" s="9">
        <f t="shared" ca="1" si="63"/>
        <v>46296</v>
      </c>
      <c r="U506" s="6">
        <f t="shared" ca="1" si="68"/>
        <v>1003</v>
      </c>
      <c r="V506" s="6" t="str">
        <f t="shared" ca="1" si="64"/>
        <v>Com Contrato em vigor</v>
      </c>
      <c r="W506" s="34">
        <f t="shared" si="66"/>
        <v>3000000</v>
      </c>
      <c r="X506" s="34">
        <f t="shared" si="67"/>
        <v>6500000</v>
      </c>
    </row>
    <row r="507" spans="1:24">
      <c r="A507" s="6" t="s">
        <v>224</v>
      </c>
      <c r="B507" t="s">
        <v>328</v>
      </c>
      <c r="C507" s="6" t="s">
        <v>330</v>
      </c>
      <c r="D507" s="6" t="s">
        <v>305</v>
      </c>
      <c r="E507">
        <f t="shared" ca="1" si="60"/>
        <v>27</v>
      </c>
      <c r="F507" s="11">
        <v>36106</v>
      </c>
      <c r="G507" s="9">
        <v>45330</v>
      </c>
      <c r="H507" s="9">
        <v>46203</v>
      </c>
      <c r="I507" s="12">
        <v>860000</v>
      </c>
      <c r="J507" s="6" t="s">
        <v>352</v>
      </c>
      <c r="K507" s="6" t="s">
        <v>499</v>
      </c>
      <c r="L507" s="6">
        <v>1</v>
      </c>
      <c r="M507" s="6">
        <v>21</v>
      </c>
      <c r="N507" s="12">
        <v>7000000</v>
      </c>
      <c r="O507" s="24">
        <f t="shared" si="61"/>
        <v>24500000</v>
      </c>
      <c r="P507" s="6" t="s">
        <v>497</v>
      </c>
      <c r="Q507">
        <f t="shared" ca="1" si="62"/>
        <v>120000</v>
      </c>
      <c r="R507" s="6" t="s">
        <v>503</v>
      </c>
      <c r="S507" s="6">
        <v>1.78</v>
      </c>
      <c r="T507" s="9">
        <f t="shared" ca="1" si="63"/>
        <v>46296</v>
      </c>
      <c r="U507" s="6">
        <f t="shared" ca="1" si="68"/>
        <v>-93</v>
      </c>
      <c r="V507" s="6" t="str">
        <f t="shared" ca="1" si="64"/>
        <v>Pre contrato</v>
      </c>
      <c r="W507" s="34">
        <f t="shared" si="66"/>
        <v>5160000</v>
      </c>
      <c r="X507" s="34">
        <f t="shared" si="67"/>
        <v>11180000</v>
      </c>
    </row>
    <row r="508" spans="1:24">
      <c r="A508" s="6" t="s">
        <v>225</v>
      </c>
      <c r="B508" t="s">
        <v>328</v>
      </c>
      <c r="C508" s="6" t="s">
        <v>328</v>
      </c>
      <c r="D508" s="6" t="s">
        <v>305</v>
      </c>
      <c r="E508">
        <f t="shared" ca="1" si="60"/>
        <v>28</v>
      </c>
      <c r="F508" s="11">
        <v>35878</v>
      </c>
      <c r="G508" s="9">
        <v>44256</v>
      </c>
      <c r="H508" s="9">
        <v>46022</v>
      </c>
      <c r="I508" s="12">
        <v>120000</v>
      </c>
      <c r="J508" s="6" t="s">
        <v>357</v>
      </c>
      <c r="K508" s="6" t="s">
        <v>499</v>
      </c>
      <c r="L508" s="6">
        <v>0</v>
      </c>
      <c r="M508" s="6">
        <v>0</v>
      </c>
      <c r="N508" s="12">
        <v>200000</v>
      </c>
      <c r="O508" s="24">
        <f t="shared" si="61"/>
        <v>700000</v>
      </c>
      <c r="P508" s="6" t="s">
        <v>493</v>
      </c>
      <c r="Q508">
        <f t="shared" ca="1" si="62"/>
        <v>120000</v>
      </c>
      <c r="R508" s="6" t="s">
        <v>506</v>
      </c>
      <c r="S508" s="6">
        <v>1.76</v>
      </c>
      <c r="T508" s="9">
        <f t="shared" ca="1" si="63"/>
        <v>46296</v>
      </c>
      <c r="U508" s="6">
        <f t="shared" ca="1" si="68"/>
        <v>-274</v>
      </c>
      <c r="V508" s="6" t="str">
        <f t="shared" ca="1" si="64"/>
        <v>Pre contrato</v>
      </c>
      <c r="W508" s="34">
        <f t="shared" si="66"/>
        <v>720000</v>
      </c>
      <c r="X508" s="34">
        <f t="shared" si="67"/>
        <v>1560000</v>
      </c>
    </row>
    <row r="509" spans="1:24">
      <c r="A509" s="6" t="s">
        <v>226</v>
      </c>
      <c r="B509" t="s">
        <v>328</v>
      </c>
      <c r="C509" s="6" t="s">
        <v>328</v>
      </c>
      <c r="D509" s="6" t="s">
        <v>305</v>
      </c>
      <c r="E509">
        <f t="shared" ca="1" si="60"/>
        <v>27</v>
      </c>
      <c r="F509" s="11">
        <v>36251</v>
      </c>
      <c r="G509" s="9">
        <v>44967</v>
      </c>
      <c r="H509" s="9">
        <v>45838</v>
      </c>
      <c r="I509" s="12">
        <v>745000</v>
      </c>
      <c r="J509" s="6" t="s">
        <v>400</v>
      </c>
      <c r="K509" s="6" t="s">
        <v>500</v>
      </c>
      <c r="L509" s="6">
        <v>2</v>
      </c>
      <c r="M509" s="6">
        <v>27</v>
      </c>
      <c r="N509" s="12">
        <v>1000000</v>
      </c>
      <c r="O509" s="24">
        <f t="shared" si="61"/>
        <v>3500000</v>
      </c>
      <c r="P509" s="6" t="s">
        <v>497</v>
      </c>
      <c r="Q509">
        <f t="shared" ca="1" si="62"/>
        <v>120000</v>
      </c>
      <c r="R509" s="6" t="s">
        <v>506</v>
      </c>
      <c r="S509" s="6">
        <v>1.8</v>
      </c>
      <c r="T509" s="9">
        <f t="shared" ca="1" si="63"/>
        <v>46296</v>
      </c>
      <c r="U509" s="6">
        <f t="shared" ca="1" si="68"/>
        <v>-458</v>
      </c>
      <c r="V509" s="6" t="str">
        <f t="shared" ca="1" si="64"/>
        <v>Pre contrato</v>
      </c>
      <c r="W509" s="34">
        <f t="shared" si="66"/>
        <v>4470000</v>
      </c>
      <c r="X509" s="34">
        <f t="shared" si="67"/>
        <v>9685000</v>
      </c>
    </row>
    <row r="510" spans="1:24">
      <c r="A510" s="6" t="s">
        <v>227</v>
      </c>
      <c r="B510" t="s">
        <v>328</v>
      </c>
      <c r="C510" s="6" t="s">
        <v>328</v>
      </c>
      <c r="D510" s="6" t="s">
        <v>318</v>
      </c>
      <c r="E510">
        <f t="shared" ca="1" si="60"/>
        <v>24</v>
      </c>
      <c r="F510" s="11">
        <v>37210</v>
      </c>
      <c r="G510" s="9">
        <v>45017</v>
      </c>
      <c r="H510" s="9">
        <v>45747</v>
      </c>
      <c r="I510" s="12">
        <v>650000</v>
      </c>
      <c r="J510" s="6" t="s">
        <v>405</v>
      </c>
      <c r="K510" s="6" t="s">
        <v>500</v>
      </c>
      <c r="L510" s="6">
        <v>0</v>
      </c>
      <c r="M510" s="6">
        <v>0</v>
      </c>
      <c r="N510" s="12">
        <v>350000</v>
      </c>
      <c r="O510" s="24">
        <f t="shared" si="61"/>
        <v>1225000</v>
      </c>
      <c r="P510" s="6" t="s">
        <v>493</v>
      </c>
      <c r="Q510">
        <f t="shared" ca="1" si="62"/>
        <v>160000</v>
      </c>
      <c r="R510" s="6" t="s">
        <v>503</v>
      </c>
      <c r="S510" s="6">
        <v>1.75</v>
      </c>
      <c r="T510" s="9">
        <f t="shared" ca="1" si="63"/>
        <v>46296</v>
      </c>
      <c r="U510" s="6">
        <f t="shared" ca="1" si="68"/>
        <v>-549</v>
      </c>
      <c r="V510" s="6" t="str">
        <f t="shared" ca="1" si="64"/>
        <v>Pre contrato</v>
      </c>
      <c r="W510" s="34">
        <f t="shared" si="66"/>
        <v>3900000</v>
      </c>
      <c r="X510" s="34">
        <f t="shared" si="67"/>
        <v>8450000</v>
      </c>
    </row>
    <row r="511" spans="1:24">
      <c r="A511" s="6" t="s">
        <v>228</v>
      </c>
      <c r="B511" t="s">
        <v>328</v>
      </c>
      <c r="C511" s="6" t="s">
        <v>328</v>
      </c>
      <c r="D511" s="6" t="s">
        <v>331</v>
      </c>
      <c r="E511">
        <f t="shared" ca="1" si="60"/>
        <v>32</v>
      </c>
      <c r="F511" s="11">
        <v>34260</v>
      </c>
      <c r="G511" s="9">
        <v>45554</v>
      </c>
      <c r="H511" s="9">
        <v>45657</v>
      </c>
      <c r="I511" s="19">
        <v>380000</v>
      </c>
      <c r="J511" s="6" t="s">
        <v>463</v>
      </c>
      <c r="K511" s="6" t="s">
        <v>500</v>
      </c>
      <c r="L511" s="6">
        <v>0</v>
      </c>
      <c r="M511" s="6">
        <v>0</v>
      </c>
      <c r="N511" s="12">
        <v>650000</v>
      </c>
      <c r="O511" s="24">
        <f t="shared" si="61"/>
        <v>2275000</v>
      </c>
      <c r="P511" s="6" t="s">
        <v>493</v>
      </c>
      <c r="Q511">
        <f t="shared" ca="1" si="62"/>
        <v>100000</v>
      </c>
      <c r="R511" s="6" t="s">
        <v>506</v>
      </c>
      <c r="S511" s="6">
        <v>1.75</v>
      </c>
      <c r="T511" s="9">
        <f t="shared" ca="1" si="63"/>
        <v>46296</v>
      </c>
      <c r="U511" s="6">
        <f t="shared" ca="1" si="68"/>
        <v>-639</v>
      </c>
      <c r="V511" s="6" t="str">
        <f t="shared" ca="1" si="64"/>
        <v>Pre contrato</v>
      </c>
      <c r="W511" s="34">
        <f t="shared" si="66"/>
        <v>2280000</v>
      </c>
      <c r="X511" s="34">
        <f t="shared" si="67"/>
        <v>4940000</v>
      </c>
    </row>
    <row r="512" spans="1:24">
      <c r="A512" s="6" t="s">
        <v>229</v>
      </c>
      <c r="B512" t="s">
        <v>328</v>
      </c>
      <c r="C512" s="6" t="s">
        <v>328</v>
      </c>
      <c r="D512" s="6" t="s">
        <v>305</v>
      </c>
      <c r="E512">
        <f t="shared" ca="1" si="60"/>
        <v>22</v>
      </c>
      <c r="F512" s="11">
        <v>38037</v>
      </c>
      <c r="G512" s="9">
        <v>45398</v>
      </c>
      <c r="H512" s="9">
        <v>47208</v>
      </c>
      <c r="I512" s="12">
        <v>150000</v>
      </c>
      <c r="J512" s="6" t="s">
        <v>352</v>
      </c>
      <c r="K512" s="6" t="s">
        <v>500</v>
      </c>
      <c r="L512" s="6">
        <v>0</v>
      </c>
      <c r="M512" s="6">
        <v>0</v>
      </c>
      <c r="N512" s="12">
        <v>250000</v>
      </c>
      <c r="O512" s="24">
        <f t="shared" si="61"/>
        <v>875000</v>
      </c>
      <c r="P512" s="6" t="s">
        <v>493</v>
      </c>
      <c r="Q512">
        <f t="shared" ca="1" si="62"/>
        <v>160000</v>
      </c>
      <c r="R512" s="6" t="s">
        <v>503</v>
      </c>
      <c r="S512" s="6">
        <v>1.74</v>
      </c>
      <c r="T512" s="9">
        <f t="shared" ca="1" si="63"/>
        <v>46296</v>
      </c>
      <c r="U512" s="6">
        <f t="shared" ca="1" si="68"/>
        <v>912</v>
      </c>
      <c r="V512" s="6" t="str">
        <f t="shared" ca="1" si="64"/>
        <v>Com Contrato em vigor</v>
      </c>
      <c r="W512" s="34">
        <f t="shared" si="66"/>
        <v>900000</v>
      </c>
      <c r="X512" s="34">
        <f t="shared" si="67"/>
        <v>1950000</v>
      </c>
    </row>
    <row r="513" spans="1:24">
      <c r="A513" s="6" t="s">
        <v>230</v>
      </c>
      <c r="B513" t="s">
        <v>328</v>
      </c>
      <c r="C513" s="6" t="s">
        <v>328</v>
      </c>
      <c r="D513" s="6" t="s">
        <v>305</v>
      </c>
      <c r="E513">
        <f t="shared" ca="1" si="60"/>
        <v>24</v>
      </c>
      <c r="F513" s="11">
        <v>37429</v>
      </c>
      <c r="G513" s="9">
        <v>44769</v>
      </c>
      <c r="H513" s="9">
        <v>46568</v>
      </c>
      <c r="I513" s="12">
        <v>120000</v>
      </c>
      <c r="J513" s="6" t="s">
        <v>464</v>
      </c>
      <c r="K513" s="6" t="s">
        <v>500</v>
      </c>
      <c r="L513" s="6">
        <v>0</v>
      </c>
      <c r="M513" s="6">
        <v>0</v>
      </c>
      <c r="N513" s="12">
        <v>150000</v>
      </c>
      <c r="O513" s="24">
        <f t="shared" si="61"/>
        <v>525000</v>
      </c>
      <c r="P513" s="6" t="s">
        <v>493</v>
      </c>
      <c r="Q513">
        <f t="shared" ca="1" si="62"/>
        <v>160000</v>
      </c>
      <c r="R513" s="6" t="s">
        <v>503</v>
      </c>
      <c r="S513" s="6">
        <v>1.75</v>
      </c>
      <c r="T513" s="9">
        <f t="shared" ca="1" si="63"/>
        <v>46296</v>
      </c>
      <c r="U513" s="6">
        <f t="shared" ca="1" si="68"/>
        <v>272</v>
      </c>
      <c r="V513" s="6" t="str">
        <f t="shared" ca="1" si="64"/>
        <v>Com Contrato em vigor</v>
      </c>
      <c r="W513" s="34">
        <f t="shared" si="66"/>
        <v>720000</v>
      </c>
      <c r="X513" s="34">
        <f t="shared" si="67"/>
        <v>1560000</v>
      </c>
    </row>
    <row r="514" spans="1:24">
      <c r="A514" s="6" t="s">
        <v>231</v>
      </c>
      <c r="B514" t="s">
        <v>328</v>
      </c>
      <c r="C514" s="6" t="s">
        <v>328</v>
      </c>
      <c r="D514" s="6" t="s">
        <v>319</v>
      </c>
      <c r="E514">
        <f t="shared" ref="E514:E577" ca="1" si="69">DATEDIF(F514,TODAY(),"Y")</f>
        <v>24</v>
      </c>
      <c r="F514" s="11">
        <v>37353</v>
      </c>
      <c r="G514" s="9">
        <v>44927</v>
      </c>
      <c r="H514" s="9">
        <v>46752</v>
      </c>
      <c r="I514" s="12">
        <v>850000</v>
      </c>
      <c r="J514" s="6" t="s">
        <v>420</v>
      </c>
      <c r="K514" s="6" t="s">
        <v>500</v>
      </c>
      <c r="L514" s="6">
        <v>0</v>
      </c>
      <c r="M514" s="6">
        <v>0</v>
      </c>
      <c r="N514" s="12">
        <v>600000</v>
      </c>
      <c r="O514" s="24">
        <f t="shared" ref="O514:O577" si="70">N514*3.5</f>
        <v>2100000</v>
      </c>
      <c r="P514" s="6" t="s">
        <v>493</v>
      </c>
      <c r="Q514">
        <f t="shared" ref="Q514:Q577" ca="1" si="71">IF(E514&gt;30,100000,IF(E514&gt;24,120000,IF(E514&gt;16,160000)))</f>
        <v>160000</v>
      </c>
      <c r="R514" s="6" t="s">
        <v>506</v>
      </c>
      <c r="S514" s="6">
        <v>1.86</v>
      </c>
      <c r="T514" s="9">
        <f t="shared" ref="T514:T577" ca="1" si="72">TODAY()</f>
        <v>46296</v>
      </c>
      <c r="U514" s="6">
        <f t="shared" ca="1" si="68"/>
        <v>456</v>
      </c>
      <c r="V514" s="6" t="str">
        <f t="shared" ref="V514:V577" ca="1" si="73">IF(U514&lt;180, "Pre contrato","Com Contrato em vigor")</f>
        <v>Com Contrato em vigor</v>
      </c>
      <c r="W514" s="34">
        <f t="shared" si="66"/>
        <v>5100000</v>
      </c>
      <c r="X514" s="34">
        <f t="shared" si="67"/>
        <v>11050000</v>
      </c>
    </row>
    <row r="515" spans="1:24">
      <c r="A515" s="6" t="s">
        <v>232</v>
      </c>
      <c r="B515" t="s">
        <v>328</v>
      </c>
      <c r="C515" s="6" t="s">
        <v>328</v>
      </c>
      <c r="D515" s="6" t="s">
        <v>305</v>
      </c>
      <c r="E515">
        <f t="shared" ca="1" si="69"/>
        <v>34</v>
      </c>
      <c r="F515" s="11">
        <v>33658</v>
      </c>
      <c r="G515" s="9">
        <v>45016</v>
      </c>
      <c r="H515" s="9">
        <v>46022</v>
      </c>
      <c r="I515" s="12">
        <v>750000</v>
      </c>
      <c r="J515" s="6" t="s">
        <v>462</v>
      </c>
      <c r="K515" s="6" t="s">
        <v>500</v>
      </c>
      <c r="L515" s="6">
        <v>2</v>
      </c>
      <c r="M515" s="6">
        <v>30</v>
      </c>
      <c r="N515" s="12">
        <v>3500000</v>
      </c>
      <c r="O515" s="24">
        <f t="shared" si="70"/>
        <v>12250000</v>
      </c>
      <c r="P515" s="6" t="s">
        <v>493</v>
      </c>
      <c r="Q515">
        <f t="shared" ca="1" si="71"/>
        <v>100000</v>
      </c>
      <c r="R515" s="6" t="s">
        <v>503</v>
      </c>
      <c r="S515" s="6">
        <v>1.73</v>
      </c>
      <c r="T515" s="9">
        <f t="shared" ca="1" si="72"/>
        <v>46296</v>
      </c>
      <c r="U515" s="6">
        <f t="shared" ref="U515:U546" ca="1" si="74">_xlfn.DAYS(H515,T515)</f>
        <v>-274</v>
      </c>
      <c r="V515" s="6" t="str">
        <f t="shared" ca="1" si="73"/>
        <v>Pre contrato</v>
      </c>
      <c r="W515" s="34">
        <f t="shared" ref="W515:W578" si="75">I515*6</f>
        <v>4500000</v>
      </c>
      <c r="X515" s="34">
        <f t="shared" ref="X515:X578" si="76">I515*13</f>
        <v>9750000</v>
      </c>
    </row>
    <row r="516" spans="1:24">
      <c r="A516" s="6" t="s">
        <v>22</v>
      </c>
      <c r="B516" t="s">
        <v>304</v>
      </c>
      <c r="C516" s="6" t="s">
        <v>304</v>
      </c>
      <c r="D516" s="6" t="s">
        <v>342</v>
      </c>
      <c r="E516">
        <f t="shared" ca="1" si="69"/>
        <v>29</v>
      </c>
      <c r="F516" s="11">
        <v>35349</v>
      </c>
      <c r="G516" s="9">
        <v>44939</v>
      </c>
      <c r="H516" s="9">
        <v>46022</v>
      </c>
      <c r="I516" s="32">
        <v>630000</v>
      </c>
      <c r="J516" s="6" t="s">
        <v>345</v>
      </c>
      <c r="K516" s="6" t="s">
        <v>492</v>
      </c>
      <c r="L516" s="6">
        <v>0</v>
      </c>
      <c r="M516" s="6">
        <v>0</v>
      </c>
      <c r="N516" s="12">
        <v>7000000</v>
      </c>
      <c r="O516" s="24">
        <f t="shared" si="70"/>
        <v>24500000</v>
      </c>
      <c r="P516" s="6" t="s">
        <v>493</v>
      </c>
      <c r="Q516">
        <f t="shared" ca="1" si="71"/>
        <v>120000</v>
      </c>
      <c r="R516" s="6" t="s">
        <v>503</v>
      </c>
      <c r="S516" s="6">
        <v>1.83</v>
      </c>
      <c r="T516" s="9">
        <f t="shared" ca="1" si="72"/>
        <v>46296</v>
      </c>
      <c r="U516" s="6">
        <f t="shared" ca="1" si="74"/>
        <v>-274</v>
      </c>
      <c r="V516" s="6" t="str">
        <f t="shared" ca="1" si="73"/>
        <v>Pre contrato</v>
      </c>
      <c r="W516" s="34">
        <f t="shared" si="75"/>
        <v>3780000</v>
      </c>
      <c r="X516" s="34">
        <f t="shared" si="76"/>
        <v>8190000</v>
      </c>
    </row>
    <row r="517" spans="1:24">
      <c r="A517" s="6" t="s">
        <v>23</v>
      </c>
      <c r="B517" t="s">
        <v>304</v>
      </c>
      <c r="C517" s="6" t="s">
        <v>304</v>
      </c>
      <c r="D517" s="6" t="s">
        <v>305</v>
      </c>
      <c r="E517">
        <f t="shared" ca="1" si="69"/>
        <v>33</v>
      </c>
      <c r="F517" s="11">
        <v>34145</v>
      </c>
      <c r="G517" s="9">
        <v>45566</v>
      </c>
      <c r="H517" s="9">
        <v>46752</v>
      </c>
      <c r="I517" s="32">
        <v>580000</v>
      </c>
      <c r="J517" s="6" t="s">
        <v>346</v>
      </c>
      <c r="K517" s="6" t="s">
        <v>494</v>
      </c>
      <c r="L517" s="6">
        <v>2</v>
      </c>
      <c r="M517" s="6">
        <v>210</v>
      </c>
      <c r="N517" s="12">
        <v>2000000</v>
      </c>
      <c r="O517" s="24">
        <f t="shared" si="70"/>
        <v>7000000</v>
      </c>
      <c r="P517" s="6" t="s">
        <v>493</v>
      </c>
      <c r="Q517">
        <f t="shared" ca="1" si="71"/>
        <v>100000</v>
      </c>
      <c r="R517" s="6" t="s">
        <v>503</v>
      </c>
      <c r="S517" s="6">
        <v>1.74</v>
      </c>
      <c r="T517" s="9">
        <f t="shared" ca="1" si="72"/>
        <v>46296</v>
      </c>
      <c r="U517" s="6">
        <f t="shared" ca="1" si="74"/>
        <v>456</v>
      </c>
      <c r="V517" s="6" t="str">
        <f t="shared" ca="1" si="73"/>
        <v>Com Contrato em vigor</v>
      </c>
      <c r="W517" s="34">
        <f t="shared" si="75"/>
        <v>3480000</v>
      </c>
      <c r="X517" s="34">
        <f t="shared" si="76"/>
        <v>7540000</v>
      </c>
    </row>
    <row r="518" spans="1:24">
      <c r="A518" s="6" t="s">
        <v>24</v>
      </c>
      <c r="B518" t="s">
        <v>304</v>
      </c>
      <c r="C518" s="6" t="s">
        <v>304</v>
      </c>
      <c r="D518" s="6" t="s">
        <v>305</v>
      </c>
      <c r="E518">
        <f t="shared" ca="1" si="69"/>
        <v>37</v>
      </c>
      <c r="F518" s="13">
        <v>32682</v>
      </c>
      <c r="G518" s="9">
        <v>44927</v>
      </c>
      <c r="H518" s="9">
        <v>46022</v>
      </c>
      <c r="I518" s="32">
        <v>570000</v>
      </c>
      <c r="J518" s="6" t="s">
        <v>347</v>
      </c>
      <c r="K518" s="6" t="s">
        <v>495</v>
      </c>
      <c r="L518" s="6">
        <v>0</v>
      </c>
      <c r="M518" s="6">
        <v>0</v>
      </c>
      <c r="N518" s="12">
        <v>7000000</v>
      </c>
      <c r="O518" s="24">
        <f t="shared" si="70"/>
        <v>24500000</v>
      </c>
      <c r="P518" s="6" t="s">
        <v>493</v>
      </c>
      <c r="Q518">
        <f t="shared" ca="1" si="71"/>
        <v>100000</v>
      </c>
      <c r="R518" s="6" t="s">
        <v>504</v>
      </c>
      <c r="S518" s="6">
        <v>1.92</v>
      </c>
      <c r="T518" s="9">
        <f t="shared" ca="1" si="72"/>
        <v>46296</v>
      </c>
      <c r="U518" s="6">
        <f t="shared" ca="1" si="74"/>
        <v>-274</v>
      </c>
      <c r="V518" s="6" t="str">
        <f t="shared" ca="1" si="73"/>
        <v>Pre contrato</v>
      </c>
      <c r="W518" s="34">
        <f t="shared" si="75"/>
        <v>3420000</v>
      </c>
      <c r="X518" s="34">
        <f t="shared" si="76"/>
        <v>7410000</v>
      </c>
    </row>
    <row r="519" spans="1:24">
      <c r="A519" s="6" t="s">
        <v>25</v>
      </c>
      <c r="B519" t="s">
        <v>304</v>
      </c>
      <c r="C519" s="6" t="s">
        <v>304</v>
      </c>
      <c r="D519" s="6" t="s">
        <v>305</v>
      </c>
      <c r="E519">
        <f t="shared" ca="1" si="69"/>
        <v>33</v>
      </c>
      <c r="F519" s="11">
        <v>34029</v>
      </c>
      <c r="G519" s="9">
        <v>45097</v>
      </c>
      <c r="H519" s="9">
        <v>46387</v>
      </c>
      <c r="I519" s="32">
        <v>278000</v>
      </c>
      <c r="J519" s="6" t="s">
        <v>348</v>
      </c>
      <c r="K519" s="6" t="s">
        <v>495</v>
      </c>
      <c r="L519" s="6">
        <v>0</v>
      </c>
      <c r="M519" s="6">
        <v>0</v>
      </c>
      <c r="N519" s="12">
        <v>500000</v>
      </c>
      <c r="O519" s="24">
        <f t="shared" si="70"/>
        <v>1750000</v>
      </c>
      <c r="P519" s="6" t="s">
        <v>493</v>
      </c>
      <c r="Q519">
        <f t="shared" ca="1" si="71"/>
        <v>100000</v>
      </c>
      <c r="R519" s="6" t="s">
        <v>503</v>
      </c>
      <c r="S519" s="6">
        <v>1.86</v>
      </c>
      <c r="T519" s="9">
        <f t="shared" ca="1" si="72"/>
        <v>46296</v>
      </c>
      <c r="U519" s="6">
        <f t="shared" ca="1" si="74"/>
        <v>91</v>
      </c>
      <c r="V519" s="6" t="str">
        <f t="shared" ca="1" si="73"/>
        <v>Pre contrato</v>
      </c>
      <c r="W519" s="34">
        <f t="shared" si="75"/>
        <v>1668000</v>
      </c>
      <c r="X519" s="34">
        <f t="shared" si="76"/>
        <v>3614000</v>
      </c>
    </row>
    <row r="520" spans="1:24" ht="14.4">
      <c r="A520" s="6" t="s">
        <v>26</v>
      </c>
      <c r="B520" t="s">
        <v>304</v>
      </c>
      <c r="C520" s="6" t="s">
        <v>304</v>
      </c>
      <c r="D520" s="6" t="s">
        <v>305</v>
      </c>
      <c r="E520">
        <f t="shared" ca="1" si="69"/>
        <v>24</v>
      </c>
      <c r="F520" s="11">
        <v>37322</v>
      </c>
      <c r="G520" s="9">
        <v>45097</v>
      </c>
      <c r="H520" s="9">
        <v>46387</v>
      </c>
      <c r="I520" s="32">
        <v>50000</v>
      </c>
      <c r="J520" s="8" t="s">
        <v>348</v>
      </c>
      <c r="K520" s="6" t="s">
        <v>495</v>
      </c>
      <c r="L520" s="6">
        <v>0</v>
      </c>
      <c r="M520" s="6">
        <v>0</v>
      </c>
      <c r="N520" s="12">
        <v>1000000</v>
      </c>
      <c r="O520" s="24">
        <f t="shared" si="70"/>
        <v>3500000</v>
      </c>
      <c r="P520" s="6" t="s">
        <v>493</v>
      </c>
      <c r="Q520">
        <f t="shared" ca="1" si="71"/>
        <v>160000</v>
      </c>
      <c r="R520" s="6" t="s">
        <v>505</v>
      </c>
      <c r="S520" s="15">
        <v>2.0099999999999998</v>
      </c>
      <c r="T520" s="9">
        <f t="shared" ca="1" si="72"/>
        <v>46296</v>
      </c>
      <c r="U520" s="6">
        <f t="shared" ca="1" si="74"/>
        <v>91</v>
      </c>
      <c r="V520" s="6" t="str">
        <f t="shared" ca="1" si="73"/>
        <v>Pre contrato</v>
      </c>
      <c r="W520" s="34">
        <f t="shared" si="75"/>
        <v>300000</v>
      </c>
      <c r="X520" s="34">
        <f t="shared" si="76"/>
        <v>650000</v>
      </c>
    </row>
    <row r="521" spans="1:24" ht="14.4">
      <c r="A521" s="6" t="s">
        <v>27</v>
      </c>
      <c r="B521" t="s">
        <v>304</v>
      </c>
      <c r="C521" s="6" t="s">
        <v>304</v>
      </c>
      <c r="D521" s="6" t="s">
        <v>306</v>
      </c>
      <c r="E521">
        <f t="shared" ca="1" si="69"/>
        <v>28</v>
      </c>
      <c r="F521" s="11">
        <v>35820</v>
      </c>
      <c r="G521" s="9">
        <v>45537</v>
      </c>
      <c r="H521" s="9">
        <v>45838</v>
      </c>
      <c r="I521" s="32">
        <v>640000</v>
      </c>
      <c r="J521" s="8" t="s">
        <v>349</v>
      </c>
      <c r="K521" s="6" t="s">
        <v>496</v>
      </c>
      <c r="L521" s="6">
        <v>0</v>
      </c>
      <c r="M521" s="6">
        <v>0</v>
      </c>
      <c r="N521" s="12">
        <v>350000</v>
      </c>
      <c r="O521" s="24">
        <f t="shared" si="70"/>
        <v>1225000</v>
      </c>
      <c r="P521" s="6" t="s">
        <v>497</v>
      </c>
      <c r="Q521">
        <f t="shared" ca="1" si="71"/>
        <v>120000</v>
      </c>
      <c r="R521" s="6" t="s">
        <v>506</v>
      </c>
      <c r="S521" s="6">
        <v>1.78</v>
      </c>
      <c r="T521" s="9">
        <f t="shared" ca="1" si="72"/>
        <v>46296</v>
      </c>
      <c r="U521" s="6">
        <f t="shared" ca="1" si="74"/>
        <v>-458</v>
      </c>
      <c r="V521" s="6" t="str">
        <f t="shared" ca="1" si="73"/>
        <v>Pre contrato</v>
      </c>
      <c r="W521" s="34">
        <f t="shared" si="75"/>
        <v>3840000</v>
      </c>
      <c r="X521" s="34">
        <f t="shared" si="76"/>
        <v>8320000</v>
      </c>
    </row>
    <row r="522" spans="1:24" ht="14.4">
      <c r="A522" s="6" t="s">
        <v>28</v>
      </c>
      <c r="B522" t="s">
        <v>304</v>
      </c>
      <c r="C522" s="6" t="s">
        <v>304</v>
      </c>
      <c r="D522" s="6" t="s">
        <v>305</v>
      </c>
      <c r="E522">
        <f t="shared" ca="1" si="69"/>
        <v>25</v>
      </c>
      <c r="F522" s="11">
        <v>36941</v>
      </c>
      <c r="G522" s="9">
        <v>44351</v>
      </c>
      <c r="H522" s="9">
        <v>45657</v>
      </c>
      <c r="I522" s="32">
        <v>200000</v>
      </c>
      <c r="J522" s="8" t="s">
        <v>348</v>
      </c>
      <c r="K522" s="6" t="s">
        <v>496</v>
      </c>
      <c r="L522" s="6">
        <v>2</v>
      </c>
      <c r="M522" s="6">
        <v>36</v>
      </c>
      <c r="N522" s="12">
        <v>7000000</v>
      </c>
      <c r="O522" s="24">
        <f t="shared" si="70"/>
        <v>24500000</v>
      </c>
      <c r="P522" s="6" t="s">
        <v>497</v>
      </c>
      <c r="Q522">
        <f t="shared" ca="1" si="71"/>
        <v>120000</v>
      </c>
      <c r="R522" s="6" t="s">
        <v>503</v>
      </c>
      <c r="S522" s="6">
        <v>1.73</v>
      </c>
      <c r="T522" s="9">
        <f t="shared" ca="1" si="72"/>
        <v>46296</v>
      </c>
      <c r="U522" s="6">
        <f t="shared" ca="1" si="74"/>
        <v>-639</v>
      </c>
      <c r="V522" s="6" t="str">
        <f t="shared" ca="1" si="73"/>
        <v>Pre contrato</v>
      </c>
      <c r="W522" s="34">
        <f t="shared" si="75"/>
        <v>1200000</v>
      </c>
      <c r="X522" s="34">
        <f t="shared" si="76"/>
        <v>2600000</v>
      </c>
    </row>
    <row r="523" spans="1:24" ht="14.4">
      <c r="A523" s="6" t="s">
        <v>29</v>
      </c>
      <c r="B523" t="s">
        <v>304</v>
      </c>
      <c r="C523" s="6" t="s">
        <v>304</v>
      </c>
      <c r="D523" s="6" t="s">
        <v>307</v>
      </c>
      <c r="E523">
        <f t="shared" ca="1" si="69"/>
        <v>27</v>
      </c>
      <c r="F523" s="11">
        <v>36118</v>
      </c>
      <c r="G523" s="9">
        <v>45296</v>
      </c>
      <c r="H523" s="9">
        <v>46752</v>
      </c>
      <c r="I523" s="32">
        <v>278000</v>
      </c>
      <c r="J523" s="8" t="s">
        <v>348</v>
      </c>
      <c r="K523" s="6" t="s">
        <v>492</v>
      </c>
      <c r="L523" s="6">
        <v>1</v>
      </c>
      <c r="M523" s="6">
        <v>21</v>
      </c>
      <c r="N523" s="12">
        <v>1200000</v>
      </c>
      <c r="O523" s="24">
        <f t="shared" si="70"/>
        <v>4200000</v>
      </c>
      <c r="P523" s="6" t="s">
        <v>493</v>
      </c>
      <c r="Q523">
        <f t="shared" ca="1" si="71"/>
        <v>120000</v>
      </c>
      <c r="R523" s="6" t="s">
        <v>503</v>
      </c>
      <c r="S523" s="6">
        <v>1.88</v>
      </c>
      <c r="T523" s="9">
        <f t="shared" ca="1" si="72"/>
        <v>46296</v>
      </c>
      <c r="U523" s="6">
        <f t="shared" ca="1" si="74"/>
        <v>456</v>
      </c>
      <c r="V523" s="6" t="str">
        <f t="shared" ca="1" si="73"/>
        <v>Com Contrato em vigor</v>
      </c>
      <c r="W523" s="34">
        <f t="shared" si="75"/>
        <v>1668000</v>
      </c>
      <c r="X523" s="34">
        <f t="shared" si="76"/>
        <v>3614000</v>
      </c>
    </row>
    <row r="524" spans="1:24">
      <c r="A524" s="6" t="s">
        <v>30</v>
      </c>
      <c r="B524" t="s">
        <v>304</v>
      </c>
      <c r="C524" s="6" t="s">
        <v>304</v>
      </c>
      <c r="D524" s="6" t="s">
        <v>305</v>
      </c>
      <c r="E524">
        <f t="shared" ca="1" si="69"/>
        <v>29</v>
      </c>
      <c r="F524" s="11">
        <v>35521</v>
      </c>
      <c r="G524" s="9">
        <v>44788</v>
      </c>
      <c r="H524" s="9">
        <v>46022</v>
      </c>
      <c r="I524" s="32">
        <v>400000</v>
      </c>
      <c r="J524" s="6" t="s">
        <v>350</v>
      </c>
      <c r="K524" s="6" t="s">
        <v>498</v>
      </c>
      <c r="L524" s="6">
        <v>2</v>
      </c>
      <c r="M524" s="6">
        <v>240</v>
      </c>
      <c r="N524" s="12">
        <v>500000</v>
      </c>
      <c r="O524" s="24">
        <f t="shared" si="70"/>
        <v>1750000</v>
      </c>
      <c r="P524" s="6" t="s">
        <v>493</v>
      </c>
      <c r="Q524">
        <f t="shared" ca="1" si="71"/>
        <v>120000</v>
      </c>
      <c r="R524" s="6" t="s">
        <v>503</v>
      </c>
      <c r="S524" s="6">
        <v>1.74</v>
      </c>
      <c r="T524" s="9">
        <f t="shared" ca="1" si="72"/>
        <v>46296</v>
      </c>
      <c r="U524" s="6">
        <f t="shared" ca="1" si="74"/>
        <v>-274</v>
      </c>
      <c r="V524" s="6" t="str">
        <f t="shared" ca="1" si="73"/>
        <v>Pre contrato</v>
      </c>
      <c r="W524" s="34">
        <f t="shared" si="75"/>
        <v>2400000</v>
      </c>
      <c r="X524" s="34">
        <f t="shared" si="76"/>
        <v>5200000</v>
      </c>
    </row>
    <row r="525" spans="1:24" ht="14.4">
      <c r="A525" s="6" t="s">
        <v>31</v>
      </c>
      <c r="B525" t="s">
        <v>304</v>
      </c>
      <c r="C525" s="8" t="s">
        <v>308</v>
      </c>
      <c r="D525" s="6" t="s">
        <v>305</v>
      </c>
      <c r="E525">
        <f t="shared" ca="1" si="69"/>
        <v>27</v>
      </c>
      <c r="F525" s="13">
        <v>36318</v>
      </c>
      <c r="G525" s="9">
        <v>45523</v>
      </c>
      <c r="H525" s="9">
        <v>45838</v>
      </c>
      <c r="I525" s="32">
        <v>350000</v>
      </c>
      <c r="J525" s="6" t="s">
        <v>351</v>
      </c>
      <c r="K525" s="6" t="s">
        <v>492</v>
      </c>
      <c r="L525" s="6">
        <v>0</v>
      </c>
      <c r="M525" s="6">
        <v>0</v>
      </c>
      <c r="N525" s="12">
        <v>400000</v>
      </c>
      <c r="O525" s="24">
        <f t="shared" si="70"/>
        <v>1400000</v>
      </c>
      <c r="P525" s="6" t="s">
        <v>493</v>
      </c>
      <c r="Q525">
        <f t="shared" ca="1" si="71"/>
        <v>120000</v>
      </c>
      <c r="R525" s="6" t="s">
        <v>506</v>
      </c>
      <c r="S525" s="6">
        <v>1.87</v>
      </c>
      <c r="T525" s="9">
        <f t="shared" ca="1" si="72"/>
        <v>46296</v>
      </c>
      <c r="U525" s="6">
        <f t="shared" ca="1" si="74"/>
        <v>-458</v>
      </c>
      <c r="V525" s="6" t="str">
        <f t="shared" ca="1" si="73"/>
        <v>Pre contrato</v>
      </c>
      <c r="W525" s="34">
        <f t="shared" si="75"/>
        <v>2100000</v>
      </c>
      <c r="X525" s="34">
        <f t="shared" si="76"/>
        <v>4550000</v>
      </c>
    </row>
    <row r="526" spans="1:24" ht="14.4">
      <c r="A526" s="6" t="s">
        <v>32</v>
      </c>
      <c r="B526" t="s">
        <v>304</v>
      </c>
      <c r="C526" s="8" t="s">
        <v>304</v>
      </c>
      <c r="D526" s="6" t="s">
        <v>305</v>
      </c>
      <c r="E526">
        <f t="shared" ca="1" si="69"/>
        <v>22</v>
      </c>
      <c r="F526" s="11">
        <v>38128</v>
      </c>
      <c r="G526" s="9">
        <v>44593</v>
      </c>
      <c r="H526" s="9">
        <v>46568</v>
      </c>
      <c r="I526" s="32">
        <v>265000</v>
      </c>
      <c r="J526" s="6" t="s">
        <v>352</v>
      </c>
      <c r="K526" s="6" t="s">
        <v>498</v>
      </c>
      <c r="L526" s="6">
        <v>5</v>
      </c>
      <c r="M526" s="6">
        <v>195</v>
      </c>
      <c r="N526" s="12">
        <v>2500000</v>
      </c>
      <c r="O526" s="24">
        <f t="shared" si="70"/>
        <v>8750000</v>
      </c>
      <c r="P526" s="6" t="s">
        <v>493</v>
      </c>
      <c r="Q526">
        <f t="shared" ca="1" si="71"/>
        <v>160000</v>
      </c>
      <c r="R526" s="6" t="s">
        <v>503</v>
      </c>
      <c r="S526" s="6">
        <v>1.75</v>
      </c>
      <c r="T526" s="9">
        <f t="shared" ca="1" si="72"/>
        <v>46296</v>
      </c>
      <c r="U526" s="6">
        <f t="shared" ca="1" si="74"/>
        <v>272</v>
      </c>
      <c r="V526" s="6" t="str">
        <f t="shared" ca="1" si="73"/>
        <v>Com Contrato em vigor</v>
      </c>
      <c r="W526" s="34">
        <f t="shared" si="75"/>
        <v>1590000</v>
      </c>
      <c r="X526" s="34">
        <f t="shared" si="76"/>
        <v>3445000</v>
      </c>
    </row>
    <row r="527" spans="1:24" ht="14.4">
      <c r="A527" s="6" t="s">
        <v>33</v>
      </c>
      <c r="B527" t="s">
        <v>304</v>
      </c>
      <c r="C527" s="8" t="s">
        <v>304</v>
      </c>
      <c r="D527" s="6" t="s">
        <v>305</v>
      </c>
      <c r="E527">
        <f t="shared" ca="1" si="69"/>
        <v>23</v>
      </c>
      <c r="F527" s="13">
        <v>37639</v>
      </c>
      <c r="G527" s="9">
        <v>44927</v>
      </c>
      <c r="H527" s="14">
        <v>46568</v>
      </c>
      <c r="I527" s="32">
        <v>245000</v>
      </c>
      <c r="J527" s="15" t="s">
        <v>346</v>
      </c>
      <c r="K527" s="6" t="s">
        <v>496</v>
      </c>
      <c r="L527" s="6">
        <v>2</v>
      </c>
      <c r="M527" s="6">
        <v>49</v>
      </c>
      <c r="N527" s="12">
        <v>3000000</v>
      </c>
      <c r="O527" s="24">
        <f t="shared" si="70"/>
        <v>10500000</v>
      </c>
      <c r="P527" s="6" t="s">
        <v>497</v>
      </c>
      <c r="Q527">
        <f t="shared" ca="1" si="71"/>
        <v>160000</v>
      </c>
      <c r="R527" s="6" t="s">
        <v>503</v>
      </c>
      <c r="S527" s="6">
        <v>1.79</v>
      </c>
      <c r="T527" s="9">
        <f t="shared" ca="1" si="72"/>
        <v>46296</v>
      </c>
      <c r="U527" s="6">
        <f t="shared" ca="1" si="74"/>
        <v>272</v>
      </c>
      <c r="V527" s="6" t="str">
        <f t="shared" ca="1" si="73"/>
        <v>Com Contrato em vigor</v>
      </c>
      <c r="W527" s="34">
        <f t="shared" si="75"/>
        <v>1470000</v>
      </c>
      <c r="X527" s="34">
        <f t="shared" si="76"/>
        <v>3185000</v>
      </c>
    </row>
    <row r="528" spans="1:24">
      <c r="A528" s="6" t="s">
        <v>34</v>
      </c>
      <c r="B528" t="s">
        <v>304</v>
      </c>
      <c r="C528" s="6" t="s">
        <v>304</v>
      </c>
      <c r="D528" s="6" t="s">
        <v>309</v>
      </c>
      <c r="E528">
        <f t="shared" ca="1" si="69"/>
        <v>34</v>
      </c>
      <c r="F528" s="11">
        <v>33533</v>
      </c>
      <c r="G528" s="9">
        <v>45383</v>
      </c>
      <c r="H528" s="9">
        <v>46752</v>
      </c>
      <c r="I528" s="32">
        <v>512000</v>
      </c>
      <c r="J528" s="15" t="s">
        <v>353</v>
      </c>
      <c r="K528" s="6" t="s">
        <v>492</v>
      </c>
      <c r="L528" s="6">
        <v>1</v>
      </c>
      <c r="M528" s="6">
        <v>21</v>
      </c>
      <c r="N528" s="12">
        <v>200000</v>
      </c>
      <c r="O528" s="24">
        <f t="shared" si="70"/>
        <v>700000</v>
      </c>
      <c r="P528" s="6" t="s">
        <v>493</v>
      </c>
      <c r="Q528">
        <f t="shared" ca="1" si="71"/>
        <v>100000</v>
      </c>
      <c r="R528" s="6" t="s">
        <v>506</v>
      </c>
      <c r="S528" s="6">
        <v>1.89</v>
      </c>
      <c r="T528" s="9">
        <f t="shared" ca="1" si="72"/>
        <v>46296</v>
      </c>
      <c r="U528" s="6">
        <f t="shared" ca="1" si="74"/>
        <v>456</v>
      </c>
      <c r="V528" s="6" t="str">
        <f t="shared" ca="1" si="73"/>
        <v>Com Contrato em vigor</v>
      </c>
      <c r="W528" s="34">
        <f t="shared" si="75"/>
        <v>3072000</v>
      </c>
      <c r="X528" s="34">
        <f t="shared" si="76"/>
        <v>6656000</v>
      </c>
    </row>
    <row r="529" spans="1:24">
      <c r="A529" s="6" t="s">
        <v>35</v>
      </c>
      <c r="B529" t="s">
        <v>304</v>
      </c>
      <c r="C529" s="6" t="s">
        <v>304</v>
      </c>
      <c r="D529" s="6" t="s">
        <v>305</v>
      </c>
      <c r="E529">
        <f t="shared" ca="1" si="69"/>
        <v>29</v>
      </c>
      <c r="F529" s="11">
        <v>35363</v>
      </c>
      <c r="G529" s="9">
        <v>45366</v>
      </c>
      <c r="H529" s="9">
        <v>46387</v>
      </c>
      <c r="I529" s="32">
        <v>120000</v>
      </c>
      <c r="J529" s="6" t="s">
        <v>348</v>
      </c>
      <c r="K529" s="6" t="s">
        <v>492</v>
      </c>
      <c r="L529" s="6">
        <v>0</v>
      </c>
      <c r="M529" s="6">
        <v>0</v>
      </c>
      <c r="N529" s="12">
        <v>250000</v>
      </c>
      <c r="O529" s="24">
        <f t="shared" si="70"/>
        <v>875000</v>
      </c>
      <c r="P529" s="6" t="s">
        <v>497</v>
      </c>
      <c r="Q529">
        <f t="shared" ca="1" si="71"/>
        <v>120000</v>
      </c>
      <c r="R529" s="6" t="s">
        <v>503</v>
      </c>
      <c r="S529" s="15">
        <v>1.84</v>
      </c>
      <c r="T529" s="9">
        <f t="shared" ca="1" si="72"/>
        <v>46296</v>
      </c>
      <c r="U529" s="6">
        <f t="shared" ca="1" si="74"/>
        <v>91</v>
      </c>
      <c r="V529" s="6" t="str">
        <f t="shared" ca="1" si="73"/>
        <v>Pre contrato</v>
      </c>
      <c r="W529" s="34">
        <f t="shared" si="75"/>
        <v>720000</v>
      </c>
      <c r="X529" s="34">
        <f t="shared" si="76"/>
        <v>1560000</v>
      </c>
    </row>
    <row r="530" spans="1:24">
      <c r="A530" s="6" t="s">
        <v>36</v>
      </c>
      <c r="B530" t="s">
        <v>304</v>
      </c>
      <c r="C530" s="6" t="s">
        <v>304</v>
      </c>
      <c r="D530" s="6" t="s">
        <v>305</v>
      </c>
      <c r="E530">
        <f t="shared" ca="1" si="69"/>
        <v>23</v>
      </c>
      <c r="F530" s="11">
        <v>37693</v>
      </c>
      <c r="G530" s="9">
        <v>45309</v>
      </c>
      <c r="H530" s="14">
        <v>46387</v>
      </c>
      <c r="I530" s="32">
        <v>70000</v>
      </c>
      <c r="J530" s="6" t="s">
        <v>354</v>
      </c>
      <c r="K530" s="6" t="s">
        <v>492</v>
      </c>
      <c r="L530" s="6">
        <v>0</v>
      </c>
      <c r="M530" s="6">
        <v>0</v>
      </c>
      <c r="N530" s="12">
        <v>24000</v>
      </c>
      <c r="O530" s="24">
        <f t="shared" si="70"/>
        <v>84000</v>
      </c>
      <c r="P530" s="6" t="s">
        <v>493</v>
      </c>
      <c r="Q530">
        <f t="shared" ca="1" si="71"/>
        <v>160000</v>
      </c>
      <c r="R530" s="6" t="s">
        <v>503</v>
      </c>
      <c r="S530" s="6">
        <v>1.86</v>
      </c>
      <c r="T530" s="9">
        <f t="shared" ca="1" si="72"/>
        <v>46296</v>
      </c>
      <c r="U530" s="6">
        <f t="shared" ca="1" si="74"/>
        <v>91</v>
      </c>
      <c r="V530" s="6" t="str">
        <f t="shared" ca="1" si="73"/>
        <v>Pre contrato</v>
      </c>
      <c r="W530" s="34">
        <f t="shared" si="75"/>
        <v>420000</v>
      </c>
      <c r="X530" s="34">
        <f t="shared" si="76"/>
        <v>910000</v>
      </c>
    </row>
    <row r="531" spans="1:24">
      <c r="A531" s="6" t="s">
        <v>37</v>
      </c>
      <c r="B531" t="s">
        <v>304</v>
      </c>
      <c r="C531" s="6" t="s">
        <v>304</v>
      </c>
      <c r="D531" s="6" t="s">
        <v>305</v>
      </c>
      <c r="E531">
        <f t="shared" ca="1" si="69"/>
        <v>41</v>
      </c>
      <c r="F531" s="11">
        <v>31297</v>
      </c>
      <c r="G531" s="9">
        <v>45223</v>
      </c>
      <c r="H531" s="9">
        <v>45657</v>
      </c>
      <c r="I531" s="32">
        <v>420000</v>
      </c>
      <c r="J531" s="15" t="s">
        <v>355</v>
      </c>
      <c r="K531" s="6" t="s">
        <v>498</v>
      </c>
      <c r="L531" s="6">
        <v>2</v>
      </c>
      <c r="M531" s="6">
        <v>121</v>
      </c>
      <c r="N531" s="12">
        <v>20000</v>
      </c>
      <c r="O531" s="24">
        <f t="shared" si="70"/>
        <v>70000</v>
      </c>
      <c r="P531" s="6" t="s">
        <v>493</v>
      </c>
      <c r="Q531">
        <f t="shared" ca="1" si="71"/>
        <v>100000</v>
      </c>
      <c r="R531" s="6" t="s">
        <v>503</v>
      </c>
      <c r="S531" s="6">
        <v>1.72</v>
      </c>
      <c r="T531" s="9">
        <f t="shared" ca="1" si="72"/>
        <v>46296</v>
      </c>
      <c r="U531" s="6">
        <f t="shared" ca="1" si="74"/>
        <v>-639</v>
      </c>
      <c r="V531" s="6" t="str">
        <f t="shared" ca="1" si="73"/>
        <v>Pre contrato</v>
      </c>
      <c r="W531" s="34">
        <f t="shared" si="75"/>
        <v>2520000</v>
      </c>
      <c r="X531" s="34">
        <f t="shared" si="76"/>
        <v>5460000</v>
      </c>
    </row>
    <row r="532" spans="1:24">
      <c r="A532" s="6" t="s">
        <v>38</v>
      </c>
      <c r="B532" t="s">
        <v>304</v>
      </c>
      <c r="C532" s="6" t="s">
        <v>304</v>
      </c>
      <c r="D532" s="6" t="s">
        <v>305</v>
      </c>
      <c r="E532">
        <f t="shared" ca="1" si="69"/>
        <v>24</v>
      </c>
      <c r="F532" s="11">
        <v>37266</v>
      </c>
      <c r="G532" s="9">
        <v>45044</v>
      </c>
      <c r="H532" s="9">
        <v>46752</v>
      </c>
      <c r="I532" s="32">
        <v>350000</v>
      </c>
      <c r="J532" s="6" t="s">
        <v>356</v>
      </c>
      <c r="K532" s="6" t="s">
        <v>494</v>
      </c>
      <c r="L532" s="6">
        <v>1</v>
      </c>
      <c r="M532" s="6">
        <v>200</v>
      </c>
      <c r="N532" s="12">
        <v>400000</v>
      </c>
      <c r="O532" s="24">
        <f t="shared" si="70"/>
        <v>1400000</v>
      </c>
      <c r="P532" s="6" t="s">
        <v>493</v>
      </c>
      <c r="Q532">
        <f t="shared" ca="1" si="71"/>
        <v>160000</v>
      </c>
      <c r="R532" s="6" t="s">
        <v>505</v>
      </c>
      <c r="S532" s="6">
        <v>1.78</v>
      </c>
      <c r="T532" s="9">
        <f t="shared" ca="1" si="72"/>
        <v>46296</v>
      </c>
      <c r="U532" s="6">
        <f t="shared" ca="1" si="74"/>
        <v>456</v>
      </c>
      <c r="V532" s="6" t="str">
        <f t="shared" ca="1" si="73"/>
        <v>Com Contrato em vigor</v>
      </c>
      <c r="W532" s="34">
        <f t="shared" si="75"/>
        <v>2100000</v>
      </c>
      <c r="X532" s="34">
        <f t="shared" si="76"/>
        <v>4550000</v>
      </c>
    </row>
    <row r="533" spans="1:24">
      <c r="A533" s="6" t="s">
        <v>39</v>
      </c>
      <c r="B533" t="s">
        <v>304</v>
      </c>
      <c r="C533" s="6" t="s">
        <v>304</v>
      </c>
      <c r="D533" s="6" t="s">
        <v>305</v>
      </c>
      <c r="E533">
        <f t="shared" ca="1" si="69"/>
        <v>26</v>
      </c>
      <c r="F533" s="11">
        <v>36747</v>
      </c>
      <c r="G533" s="9">
        <v>45075</v>
      </c>
      <c r="H533" s="9">
        <v>46934</v>
      </c>
      <c r="I533" s="32">
        <v>410000</v>
      </c>
      <c r="J533" s="6" t="s">
        <v>357</v>
      </c>
      <c r="K533" s="6" t="s">
        <v>499</v>
      </c>
      <c r="L533" s="6">
        <v>1</v>
      </c>
      <c r="M533" s="6">
        <v>32</v>
      </c>
      <c r="N533" s="12">
        <v>600000</v>
      </c>
      <c r="O533" s="24">
        <f t="shared" si="70"/>
        <v>2100000</v>
      </c>
      <c r="P533" s="6" t="s">
        <v>497</v>
      </c>
      <c r="Q533">
        <f t="shared" ca="1" si="71"/>
        <v>120000</v>
      </c>
      <c r="R533" s="6" t="s">
        <v>503</v>
      </c>
      <c r="S533" s="6">
        <v>1.75</v>
      </c>
      <c r="T533" s="9">
        <f t="shared" ca="1" si="72"/>
        <v>46296</v>
      </c>
      <c r="U533" s="6">
        <f t="shared" ca="1" si="74"/>
        <v>638</v>
      </c>
      <c r="V533" s="6" t="str">
        <f t="shared" ca="1" si="73"/>
        <v>Com Contrato em vigor</v>
      </c>
      <c r="W533" s="34">
        <f t="shared" si="75"/>
        <v>2460000</v>
      </c>
      <c r="X533" s="34">
        <f t="shared" si="76"/>
        <v>5330000</v>
      </c>
    </row>
    <row r="534" spans="1:24">
      <c r="A534" s="6" t="s">
        <v>40</v>
      </c>
      <c r="B534" t="s">
        <v>304</v>
      </c>
      <c r="C534" s="6" t="s">
        <v>304</v>
      </c>
      <c r="D534" s="6" t="s">
        <v>342</v>
      </c>
      <c r="E534">
        <f t="shared" ca="1" si="69"/>
        <v>27</v>
      </c>
      <c r="F534" s="11">
        <v>36329</v>
      </c>
      <c r="G534" s="9">
        <v>44768</v>
      </c>
      <c r="H534" s="9">
        <v>46568</v>
      </c>
      <c r="I534" s="32">
        <v>485000</v>
      </c>
      <c r="J534" s="6" t="s">
        <v>358</v>
      </c>
      <c r="K534" s="6" t="s">
        <v>499</v>
      </c>
      <c r="L534" s="6">
        <v>2</v>
      </c>
      <c r="M534" s="6">
        <v>27</v>
      </c>
      <c r="N534" s="12">
        <v>100000</v>
      </c>
      <c r="O534" s="24">
        <f t="shared" si="70"/>
        <v>350000</v>
      </c>
      <c r="P534" s="6" t="s">
        <v>493</v>
      </c>
      <c r="Q534">
        <f t="shared" ca="1" si="71"/>
        <v>120000</v>
      </c>
      <c r="R534" s="6" t="s">
        <v>503</v>
      </c>
      <c r="S534" s="6">
        <v>1.79</v>
      </c>
      <c r="T534" s="9">
        <f t="shared" ca="1" si="72"/>
        <v>46296</v>
      </c>
      <c r="U534" s="6">
        <f t="shared" ca="1" si="74"/>
        <v>272</v>
      </c>
      <c r="V534" s="6" t="str">
        <f t="shared" ca="1" si="73"/>
        <v>Com Contrato em vigor</v>
      </c>
      <c r="W534" s="34">
        <f t="shared" si="75"/>
        <v>2910000</v>
      </c>
      <c r="X534" s="34">
        <f t="shared" si="76"/>
        <v>6305000</v>
      </c>
    </row>
    <row r="535" spans="1:24">
      <c r="A535" s="6" t="s">
        <v>41</v>
      </c>
      <c r="B535" t="s">
        <v>304</v>
      </c>
      <c r="C535" s="6" t="s">
        <v>310</v>
      </c>
      <c r="D535" s="6" t="s">
        <v>342</v>
      </c>
      <c r="E535">
        <f t="shared" ca="1" si="69"/>
        <v>28</v>
      </c>
      <c r="F535" s="11">
        <v>35897</v>
      </c>
      <c r="G535" s="9">
        <v>45537</v>
      </c>
      <c r="H535" s="9">
        <v>45898</v>
      </c>
      <c r="I535" s="32">
        <v>320000</v>
      </c>
      <c r="J535" s="15" t="s">
        <v>359</v>
      </c>
      <c r="K535" s="6" t="s">
        <v>494</v>
      </c>
      <c r="L535" s="6">
        <v>0</v>
      </c>
      <c r="M535" s="6">
        <v>0</v>
      </c>
      <c r="N535" s="12">
        <v>40000</v>
      </c>
      <c r="O535" s="24">
        <f t="shared" si="70"/>
        <v>140000</v>
      </c>
      <c r="P535" s="6" t="s">
        <v>493</v>
      </c>
      <c r="Q535">
        <f t="shared" ca="1" si="71"/>
        <v>120000</v>
      </c>
      <c r="R535" s="6" t="s">
        <v>506</v>
      </c>
      <c r="S535" s="6">
        <v>1.77</v>
      </c>
      <c r="T535" s="9">
        <f t="shared" ca="1" si="72"/>
        <v>46296</v>
      </c>
      <c r="U535" s="6">
        <f t="shared" ca="1" si="74"/>
        <v>-398</v>
      </c>
      <c r="V535" s="6" t="str">
        <f t="shared" ca="1" si="73"/>
        <v>Pre contrato</v>
      </c>
      <c r="W535" s="34">
        <f t="shared" si="75"/>
        <v>1920000</v>
      </c>
      <c r="X535" s="34">
        <f t="shared" si="76"/>
        <v>4160000</v>
      </c>
    </row>
    <row r="536" spans="1:24">
      <c r="A536" s="6" t="s">
        <v>42</v>
      </c>
      <c r="B536" t="s">
        <v>304</v>
      </c>
      <c r="C536" s="6" t="s">
        <v>311</v>
      </c>
      <c r="D536" s="6" t="s">
        <v>305</v>
      </c>
      <c r="E536">
        <f t="shared" ca="1" si="69"/>
        <v>26</v>
      </c>
      <c r="F536" s="11">
        <v>36690</v>
      </c>
      <c r="G536" s="9">
        <v>45496</v>
      </c>
      <c r="H536" s="9">
        <v>45838</v>
      </c>
      <c r="I536" s="32">
        <v>175000</v>
      </c>
      <c r="J536" s="6" t="s">
        <v>352</v>
      </c>
      <c r="K536" s="6" t="s">
        <v>494</v>
      </c>
      <c r="L536" s="6">
        <v>0</v>
      </c>
      <c r="M536" s="6">
        <v>0</v>
      </c>
      <c r="N536" s="12">
        <v>120000</v>
      </c>
      <c r="O536" s="24">
        <f t="shared" si="70"/>
        <v>420000</v>
      </c>
      <c r="P536" s="6" t="s">
        <v>493</v>
      </c>
      <c r="Q536">
        <f t="shared" ca="1" si="71"/>
        <v>120000</v>
      </c>
      <c r="R536" s="6" t="s">
        <v>503</v>
      </c>
      <c r="S536" s="6">
        <v>1.66</v>
      </c>
      <c r="T536" s="9">
        <f t="shared" ca="1" si="72"/>
        <v>46296</v>
      </c>
      <c r="U536" s="6">
        <f t="shared" ca="1" si="74"/>
        <v>-458</v>
      </c>
      <c r="V536" s="6" t="str">
        <f t="shared" ca="1" si="73"/>
        <v>Pre contrato</v>
      </c>
      <c r="W536" s="34">
        <f t="shared" si="75"/>
        <v>1050000</v>
      </c>
      <c r="X536" s="34">
        <f t="shared" si="76"/>
        <v>2275000</v>
      </c>
    </row>
    <row r="537" spans="1:24">
      <c r="A537" s="6" t="s">
        <v>43</v>
      </c>
      <c r="B537" t="s">
        <v>304</v>
      </c>
      <c r="C537" s="6" t="s">
        <v>304</v>
      </c>
      <c r="D537" s="6" t="s">
        <v>312</v>
      </c>
      <c r="E537">
        <f t="shared" ca="1" si="69"/>
        <v>25</v>
      </c>
      <c r="F537" s="11">
        <v>37083</v>
      </c>
      <c r="G537" s="9">
        <v>45292</v>
      </c>
      <c r="H537" s="9">
        <v>46752</v>
      </c>
      <c r="I537" s="32">
        <v>295000</v>
      </c>
      <c r="J537" s="6" t="s">
        <v>360</v>
      </c>
      <c r="K537" s="6" t="s">
        <v>494</v>
      </c>
      <c r="L537" s="6">
        <v>1</v>
      </c>
      <c r="M537" s="6">
        <v>13</v>
      </c>
      <c r="N537" s="12">
        <v>100000</v>
      </c>
      <c r="O537" s="24">
        <f t="shared" si="70"/>
        <v>350000</v>
      </c>
      <c r="P537" s="6" t="s">
        <v>493</v>
      </c>
      <c r="Q537">
        <f t="shared" ca="1" si="71"/>
        <v>120000</v>
      </c>
      <c r="R537" s="6" t="s">
        <v>506</v>
      </c>
      <c r="S537" s="6">
        <v>1.81</v>
      </c>
      <c r="T537" s="9">
        <f t="shared" ca="1" si="72"/>
        <v>46296</v>
      </c>
      <c r="U537" s="6">
        <f t="shared" ca="1" si="74"/>
        <v>456</v>
      </c>
      <c r="V537" s="6" t="str">
        <f t="shared" ca="1" si="73"/>
        <v>Com Contrato em vigor</v>
      </c>
      <c r="W537" s="34">
        <f t="shared" si="75"/>
        <v>1770000</v>
      </c>
      <c r="X537" s="34">
        <f t="shared" si="76"/>
        <v>3835000</v>
      </c>
    </row>
    <row r="538" spans="1:24">
      <c r="A538" s="6" t="s">
        <v>44</v>
      </c>
      <c r="B538" t="s">
        <v>304</v>
      </c>
      <c r="C538" s="6" t="s">
        <v>304</v>
      </c>
      <c r="D538" s="6" t="s">
        <v>305</v>
      </c>
      <c r="E538">
        <f t="shared" ca="1" si="69"/>
        <v>39</v>
      </c>
      <c r="F538" s="11">
        <v>31981</v>
      </c>
      <c r="G538" s="9">
        <v>45292</v>
      </c>
      <c r="H538" s="16">
        <v>45657</v>
      </c>
      <c r="I538" s="32">
        <v>650000</v>
      </c>
      <c r="J538" s="6" t="s">
        <v>361</v>
      </c>
      <c r="K538" s="6" t="s">
        <v>494</v>
      </c>
      <c r="L538" s="6">
        <v>1</v>
      </c>
      <c r="M538" s="6">
        <v>11</v>
      </c>
      <c r="N538" s="12">
        <v>50000</v>
      </c>
      <c r="O538" s="24">
        <f t="shared" si="70"/>
        <v>175000</v>
      </c>
      <c r="P538" s="6" t="s">
        <v>493</v>
      </c>
      <c r="Q538">
        <f t="shared" ca="1" si="71"/>
        <v>100000</v>
      </c>
      <c r="R538" s="6" t="s">
        <v>503</v>
      </c>
      <c r="S538" s="6">
        <v>1.87</v>
      </c>
      <c r="T538" s="9">
        <f t="shared" ca="1" si="72"/>
        <v>46296</v>
      </c>
      <c r="U538" s="6">
        <f t="shared" ca="1" si="74"/>
        <v>-639</v>
      </c>
      <c r="V538" s="6" t="str">
        <f t="shared" ca="1" si="73"/>
        <v>Pre contrato</v>
      </c>
      <c r="W538" s="34">
        <f t="shared" si="75"/>
        <v>3900000</v>
      </c>
      <c r="X538" s="34">
        <f t="shared" si="76"/>
        <v>8450000</v>
      </c>
    </row>
    <row r="539" spans="1:24">
      <c r="A539" s="6" t="s">
        <v>45</v>
      </c>
      <c r="B539" t="s">
        <v>304</v>
      </c>
      <c r="C539" s="6" t="s">
        <v>304</v>
      </c>
      <c r="D539" s="6" t="s">
        <v>305</v>
      </c>
      <c r="E539">
        <f t="shared" ca="1" si="69"/>
        <v>34</v>
      </c>
      <c r="F539" s="11">
        <v>33829</v>
      </c>
      <c r="G539" s="9">
        <v>45282</v>
      </c>
      <c r="H539" s="9">
        <v>46387</v>
      </c>
      <c r="I539" s="32">
        <v>740000</v>
      </c>
      <c r="J539" s="6" t="s">
        <v>356</v>
      </c>
      <c r="K539" s="6" t="s">
        <v>500</v>
      </c>
      <c r="L539" s="6">
        <v>1</v>
      </c>
      <c r="M539" s="6">
        <v>20</v>
      </c>
      <c r="N539" s="12">
        <v>300000</v>
      </c>
      <c r="O539" s="24">
        <f t="shared" si="70"/>
        <v>1050000</v>
      </c>
      <c r="P539" s="6" t="s">
        <v>493</v>
      </c>
      <c r="Q539">
        <f t="shared" ca="1" si="71"/>
        <v>100000</v>
      </c>
      <c r="R539" s="6" t="s">
        <v>503</v>
      </c>
      <c r="S539" s="6">
        <v>1.72</v>
      </c>
      <c r="T539" s="9">
        <f t="shared" ca="1" si="72"/>
        <v>46296</v>
      </c>
      <c r="U539" s="6">
        <f t="shared" ca="1" si="74"/>
        <v>91</v>
      </c>
      <c r="V539" s="6" t="str">
        <f t="shared" ca="1" si="73"/>
        <v>Pre contrato</v>
      </c>
      <c r="W539" s="34">
        <f t="shared" si="75"/>
        <v>4440000</v>
      </c>
      <c r="X539" s="34">
        <f t="shared" si="76"/>
        <v>9620000</v>
      </c>
    </row>
    <row r="540" spans="1:24">
      <c r="A540" s="6" t="s">
        <v>46</v>
      </c>
      <c r="B540" t="s">
        <v>304</v>
      </c>
      <c r="C540" s="6" t="s">
        <v>304</v>
      </c>
      <c r="D540" s="6" t="s">
        <v>305</v>
      </c>
      <c r="E540">
        <f t="shared" ca="1" si="69"/>
        <v>34</v>
      </c>
      <c r="F540" s="11">
        <v>33773</v>
      </c>
      <c r="G540" s="9">
        <v>44927</v>
      </c>
      <c r="H540" s="9">
        <v>46387</v>
      </c>
      <c r="I540" s="32">
        <v>243000</v>
      </c>
      <c r="J540" s="15" t="s">
        <v>362</v>
      </c>
      <c r="K540" s="6" t="s">
        <v>500</v>
      </c>
      <c r="L540" s="6">
        <v>1</v>
      </c>
      <c r="M540" s="6">
        <v>34</v>
      </c>
      <c r="N540" s="12">
        <v>500000</v>
      </c>
      <c r="O540" s="24">
        <f t="shared" si="70"/>
        <v>1750000</v>
      </c>
      <c r="P540" s="6" t="s">
        <v>497</v>
      </c>
      <c r="Q540">
        <f t="shared" ca="1" si="71"/>
        <v>100000</v>
      </c>
      <c r="R540" s="6" t="s">
        <v>506</v>
      </c>
      <c r="S540" s="15">
        <v>1.72</v>
      </c>
      <c r="T540" s="9">
        <f t="shared" ca="1" si="72"/>
        <v>46296</v>
      </c>
      <c r="U540" s="6">
        <f t="shared" ca="1" si="74"/>
        <v>91</v>
      </c>
      <c r="V540" s="6" t="str">
        <f t="shared" ca="1" si="73"/>
        <v>Pre contrato</v>
      </c>
      <c r="W540" s="34">
        <f t="shared" si="75"/>
        <v>1458000</v>
      </c>
      <c r="X540" s="34">
        <f t="shared" si="76"/>
        <v>3159000</v>
      </c>
    </row>
    <row r="541" spans="1:24">
      <c r="A541" s="7" t="s">
        <v>47</v>
      </c>
      <c r="B541" t="s">
        <v>304</v>
      </c>
      <c r="C541" s="6" t="s">
        <v>304</v>
      </c>
      <c r="D541" s="6" t="s">
        <v>305</v>
      </c>
      <c r="E541">
        <f t="shared" ca="1" si="69"/>
        <v>28</v>
      </c>
      <c r="F541" s="11">
        <v>35774</v>
      </c>
      <c r="G541" s="9">
        <v>45292</v>
      </c>
      <c r="H541" s="9">
        <v>46387</v>
      </c>
      <c r="I541" s="32">
        <v>350000</v>
      </c>
      <c r="J541" s="6" t="s">
        <v>363</v>
      </c>
      <c r="K541" s="6" t="s">
        <v>500</v>
      </c>
      <c r="L541" s="6">
        <v>2</v>
      </c>
      <c r="M541" s="6">
        <v>24</v>
      </c>
      <c r="N541" s="12">
        <v>2000000</v>
      </c>
      <c r="O541" s="24">
        <f t="shared" si="70"/>
        <v>7000000</v>
      </c>
      <c r="P541" s="6" t="s">
        <v>497</v>
      </c>
      <c r="Q541">
        <f t="shared" ca="1" si="71"/>
        <v>120000</v>
      </c>
      <c r="R541" s="6" t="s">
        <v>506</v>
      </c>
      <c r="S541" s="6">
        <v>1.73</v>
      </c>
      <c r="T541" s="9">
        <f t="shared" ca="1" si="72"/>
        <v>46296</v>
      </c>
      <c r="U541" s="6">
        <f t="shared" ca="1" si="74"/>
        <v>91</v>
      </c>
      <c r="V541" s="6" t="str">
        <f t="shared" ca="1" si="73"/>
        <v>Pre contrato</v>
      </c>
      <c r="W541" s="34">
        <f t="shared" si="75"/>
        <v>2100000</v>
      </c>
      <c r="X541" s="34">
        <f t="shared" si="76"/>
        <v>4550000</v>
      </c>
    </row>
    <row r="542" spans="1:24">
      <c r="A542" s="6" t="s">
        <v>48</v>
      </c>
      <c r="B542" t="s">
        <v>304</v>
      </c>
      <c r="C542" s="6" t="s">
        <v>304</v>
      </c>
      <c r="D542" s="6" t="s">
        <v>305</v>
      </c>
      <c r="E542">
        <f t="shared" ca="1" si="69"/>
        <v>33</v>
      </c>
      <c r="F542" s="13">
        <v>34107</v>
      </c>
      <c r="G542" s="9">
        <v>45288</v>
      </c>
      <c r="H542" s="9">
        <v>46387</v>
      </c>
      <c r="I542" s="32">
        <v>760000</v>
      </c>
      <c r="J542" s="15" t="s">
        <v>364</v>
      </c>
      <c r="K542" s="6" t="s">
        <v>500</v>
      </c>
      <c r="L542" s="6">
        <v>0</v>
      </c>
      <c r="M542" s="6">
        <v>0</v>
      </c>
      <c r="N542" s="12">
        <v>500000</v>
      </c>
      <c r="O542" s="24">
        <f t="shared" si="70"/>
        <v>1750000</v>
      </c>
      <c r="P542" s="6" t="s">
        <v>497</v>
      </c>
      <c r="Q542">
        <f t="shared" ca="1" si="71"/>
        <v>100000</v>
      </c>
      <c r="R542" s="6" t="s">
        <v>506</v>
      </c>
      <c r="S542" s="6">
        <v>1.8</v>
      </c>
      <c r="T542" s="9">
        <f t="shared" ca="1" si="72"/>
        <v>46296</v>
      </c>
      <c r="U542" s="6">
        <f t="shared" ca="1" si="74"/>
        <v>91</v>
      </c>
      <c r="V542" s="6" t="str">
        <f t="shared" ca="1" si="73"/>
        <v>Pre contrato</v>
      </c>
      <c r="W542" s="34">
        <f t="shared" si="75"/>
        <v>4560000</v>
      </c>
      <c r="X542" s="34">
        <f t="shared" si="76"/>
        <v>9880000</v>
      </c>
    </row>
    <row r="543" spans="1:24">
      <c r="A543" s="6" t="s">
        <v>49</v>
      </c>
      <c r="B543" t="s">
        <v>304</v>
      </c>
      <c r="C543" s="6" t="s">
        <v>304</v>
      </c>
      <c r="D543" s="6" t="s">
        <v>342</v>
      </c>
      <c r="E543">
        <f t="shared" ca="1" si="69"/>
        <v>33</v>
      </c>
      <c r="F543" s="11">
        <v>34235</v>
      </c>
      <c r="G543" s="9">
        <v>45174</v>
      </c>
      <c r="H543" s="9">
        <v>46387</v>
      </c>
      <c r="I543" s="32">
        <v>800000</v>
      </c>
      <c r="J543" s="15" t="s">
        <v>365</v>
      </c>
      <c r="K543" s="6" t="s">
        <v>500</v>
      </c>
      <c r="L543" s="6">
        <v>0</v>
      </c>
      <c r="M543" s="6">
        <v>0</v>
      </c>
      <c r="N543" s="12">
        <v>2500000</v>
      </c>
      <c r="O543" s="24">
        <f t="shared" si="70"/>
        <v>8750000</v>
      </c>
      <c r="P543" s="6" t="s">
        <v>493</v>
      </c>
      <c r="Q543">
        <f t="shared" ca="1" si="71"/>
        <v>100000</v>
      </c>
      <c r="R543" s="6" t="s">
        <v>503</v>
      </c>
      <c r="S543" s="6">
        <v>1.81</v>
      </c>
      <c r="T543" s="9">
        <f t="shared" ca="1" si="72"/>
        <v>46296</v>
      </c>
      <c r="U543" s="6">
        <f t="shared" ca="1" si="74"/>
        <v>91</v>
      </c>
      <c r="V543" s="6" t="str">
        <f t="shared" ca="1" si="73"/>
        <v>Pre contrato</v>
      </c>
      <c r="W543" s="34">
        <f t="shared" si="75"/>
        <v>4800000</v>
      </c>
      <c r="X543" s="34">
        <f t="shared" si="76"/>
        <v>10400000</v>
      </c>
    </row>
    <row r="544" spans="1:24">
      <c r="A544" s="6" t="s">
        <v>50</v>
      </c>
      <c r="B544" t="s">
        <v>304</v>
      </c>
      <c r="C544" s="6" t="s">
        <v>304</v>
      </c>
      <c r="D544" s="6" t="s">
        <v>305</v>
      </c>
      <c r="E544">
        <f t="shared" ca="1" si="69"/>
        <v>29</v>
      </c>
      <c r="F544" s="11">
        <v>35584</v>
      </c>
      <c r="G544" s="9">
        <v>45356</v>
      </c>
      <c r="H544" s="9">
        <v>46752</v>
      </c>
      <c r="I544" s="32">
        <v>630000</v>
      </c>
      <c r="J544" t="s">
        <v>366</v>
      </c>
      <c r="K544" s="6" t="s">
        <v>500</v>
      </c>
      <c r="L544" s="6">
        <v>0</v>
      </c>
      <c r="M544" s="6">
        <v>0</v>
      </c>
      <c r="N544" s="12">
        <v>3000000</v>
      </c>
      <c r="O544" s="24">
        <f t="shared" si="70"/>
        <v>10500000</v>
      </c>
      <c r="P544" s="6" t="s">
        <v>493</v>
      </c>
      <c r="Q544">
        <f t="shared" ca="1" si="71"/>
        <v>120000</v>
      </c>
      <c r="R544" s="6" t="s">
        <v>503</v>
      </c>
      <c r="S544" s="6">
        <v>1.81</v>
      </c>
      <c r="T544" s="9">
        <f t="shared" ca="1" si="72"/>
        <v>46296</v>
      </c>
      <c r="U544" s="6">
        <f t="shared" ca="1" si="74"/>
        <v>456</v>
      </c>
      <c r="V544" s="6" t="str">
        <f t="shared" ca="1" si="73"/>
        <v>Com Contrato em vigor</v>
      </c>
      <c r="W544" s="34">
        <f t="shared" si="75"/>
        <v>3780000</v>
      </c>
      <c r="X544" s="34">
        <f t="shared" si="76"/>
        <v>8190000</v>
      </c>
    </row>
    <row r="545" spans="1:24">
      <c r="A545" t="s">
        <v>667</v>
      </c>
      <c r="B545" t="s">
        <v>666</v>
      </c>
      <c r="C545" t="s">
        <v>666</v>
      </c>
      <c r="D545" s="6" t="s">
        <v>305</v>
      </c>
      <c r="E545">
        <f t="shared" ca="1" si="69"/>
        <v>27</v>
      </c>
      <c r="F545" s="20">
        <v>36191</v>
      </c>
      <c r="G545" s="20">
        <v>45483</v>
      </c>
      <c r="H545" s="20">
        <v>47118</v>
      </c>
      <c r="I545" s="17">
        <v>750000</v>
      </c>
      <c r="J545" t="s">
        <v>348</v>
      </c>
      <c r="K545" s="6" t="s">
        <v>495</v>
      </c>
      <c r="L545">
        <v>0</v>
      </c>
      <c r="M545">
        <v>0</v>
      </c>
      <c r="N545" s="17">
        <v>18000000</v>
      </c>
      <c r="O545" s="24">
        <f t="shared" si="70"/>
        <v>63000000</v>
      </c>
      <c r="P545" t="s">
        <v>493</v>
      </c>
      <c r="Q545">
        <f t="shared" ca="1" si="71"/>
        <v>120000</v>
      </c>
      <c r="R545" t="s">
        <v>503</v>
      </c>
      <c r="S545">
        <v>1.99</v>
      </c>
      <c r="T545" s="20">
        <f t="shared" ca="1" si="72"/>
        <v>46296</v>
      </c>
      <c r="U545">
        <f t="shared" ca="1" si="74"/>
        <v>822</v>
      </c>
      <c r="V545" t="str">
        <f t="shared" ca="1" si="73"/>
        <v>Com Contrato em vigor</v>
      </c>
      <c r="W545" s="34">
        <f t="shared" si="75"/>
        <v>4500000</v>
      </c>
      <c r="X545" s="34">
        <f t="shared" si="76"/>
        <v>9750000</v>
      </c>
    </row>
    <row r="546" spans="1:24">
      <c r="A546" t="s">
        <v>668</v>
      </c>
      <c r="B546" t="s">
        <v>666</v>
      </c>
      <c r="C546" t="s">
        <v>666</v>
      </c>
      <c r="D546" s="6" t="s">
        <v>305</v>
      </c>
      <c r="E546">
        <f t="shared" ca="1" si="69"/>
        <v>24</v>
      </c>
      <c r="F546" s="20">
        <v>37393</v>
      </c>
      <c r="G546" s="20">
        <v>44256</v>
      </c>
      <c r="H546" s="20">
        <v>46934</v>
      </c>
      <c r="I546" s="17">
        <v>150000</v>
      </c>
      <c r="J546" t="s">
        <v>463</v>
      </c>
      <c r="K546" s="6" t="s">
        <v>495</v>
      </c>
      <c r="L546">
        <v>0</v>
      </c>
      <c r="M546">
        <v>0</v>
      </c>
      <c r="N546" s="17">
        <v>6000000</v>
      </c>
      <c r="O546" s="24">
        <f t="shared" si="70"/>
        <v>21000000</v>
      </c>
      <c r="P546" t="s">
        <v>493</v>
      </c>
      <c r="Q546">
        <f t="shared" ca="1" si="71"/>
        <v>160000</v>
      </c>
      <c r="R546" t="s">
        <v>505</v>
      </c>
      <c r="S546">
        <v>1.87</v>
      </c>
      <c r="T546" s="20">
        <f t="shared" ca="1" si="72"/>
        <v>46296</v>
      </c>
      <c r="U546">
        <f t="shared" ca="1" si="74"/>
        <v>638</v>
      </c>
      <c r="V546" t="str">
        <f t="shared" ca="1" si="73"/>
        <v>Com Contrato em vigor</v>
      </c>
      <c r="W546" s="34">
        <f t="shared" si="75"/>
        <v>900000</v>
      </c>
      <c r="X546" s="34">
        <f t="shared" si="76"/>
        <v>1950000</v>
      </c>
    </row>
    <row r="547" spans="1:24">
      <c r="A547" t="s">
        <v>235</v>
      </c>
      <c r="B547" t="s">
        <v>666</v>
      </c>
      <c r="C547" t="s">
        <v>666</v>
      </c>
      <c r="D547" s="6" t="s">
        <v>305</v>
      </c>
      <c r="E547">
        <f t="shared" ca="1" si="69"/>
        <v>39</v>
      </c>
      <c r="F547" s="20">
        <v>31934</v>
      </c>
      <c r="G547" s="20">
        <v>45483</v>
      </c>
      <c r="H547" s="20">
        <v>46538</v>
      </c>
      <c r="I547" s="17">
        <v>900000</v>
      </c>
      <c r="J547" t="s">
        <v>401</v>
      </c>
      <c r="K547" s="6" t="s">
        <v>495</v>
      </c>
      <c r="L547">
        <v>1</v>
      </c>
      <c r="M547">
        <v>24</v>
      </c>
      <c r="N547" s="17">
        <v>5000000</v>
      </c>
      <c r="O547" s="24">
        <f t="shared" si="70"/>
        <v>17500000</v>
      </c>
      <c r="P547" t="s">
        <v>497</v>
      </c>
      <c r="Q547">
        <f t="shared" ca="1" si="71"/>
        <v>100000</v>
      </c>
      <c r="R547" t="s">
        <v>506</v>
      </c>
      <c r="S547">
        <v>1.95</v>
      </c>
      <c r="T547" s="20">
        <f t="shared" ca="1" si="72"/>
        <v>46296</v>
      </c>
      <c r="U547">
        <f t="shared" ref="U547:U578" ca="1" si="77">_xlfn.DAYS(H547,T547)</f>
        <v>242</v>
      </c>
      <c r="V547" t="str">
        <f t="shared" ca="1" si="73"/>
        <v>Com Contrato em vigor</v>
      </c>
      <c r="W547" s="34">
        <f t="shared" si="75"/>
        <v>5400000</v>
      </c>
      <c r="X547" s="34">
        <f t="shared" si="76"/>
        <v>11700000</v>
      </c>
    </row>
    <row r="548" spans="1:24">
      <c r="A548" t="s">
        <v>669</v>
      </c>
      <c r="B548" t="s">
        <v>666</v>
      </c>
      <c r="C548" t="s">
        <v>666</v>
      </c>
      <c r="D548" s="6" t="s">
        <v>305</v>
      </c>
      <c r="E548">
        <f t="shared" ca="1" si="69"/>
        <v>27</v>
      </c>
      <c r="F548" s="20">
        <v>36077</v>
      </c>
      <c r="G548" s="20">
        <v>44751</v>
      </c>
      <c r="H548" s="20">
        <v>45838</v>
      </c>
      <c r="I548" s="17">
        <v>200000</v>
      </c>
      <c r="J548" t="s">
        <v>670</v>
      </c>
      <c r="K548" s="6" t="s">
        <v>495</v>
      </c>
      <c r="L548">
        <v>0</v>
      </c>
      <c r="M548">
        <v>0</v>
      </c>
      <c r="N548" s="17">
        <v>10000000</v>
      </c>
      <c r="O548" s="24">
        <f t="shared" si="70"/>
        <v>35000000</v>
      </c>
      <c r="P548" t="s">
        <v>493</v>
      </c>
      <c r="Q548">
        <f t="shared" ca="1" si="71"/>
        <v>120000</v>
      </c>
      <c r="R548" t="s">
        <v>506</v>
      </c>
      <c r="S548">
        <v>2.04</v>
      </c>
      <c r="T548" s="20">
        <f t="shared" ca="1" si="72"/>
        <v>46296</v>
      </c>
      <c r="U548">
        <f t="shared" ca="1" si="77"/>
        <v>-458</v>
      </c>
      <c r="V548" t="str">
        <f t="shared" ca="1" si="73"/>
        <v>Pre contrato</v>
      </c>
      <c r="W548" s="34">
        <f t="shared" si="75"/>
        <v>1200000</v>
      </c>
      <c r="X548" s="34">
        <f t="shared" si="76"/>
        <v>2600000</v>
      </c>
    </row>
    <row r="549" spans="1:24">
      <c r="A549" t="s">
        <v>671</v>
      </c>
      <c r="B549" t="s">
        <v>666</v>
      </c>
      <c r="C549" t="s">
        <v>666</v>
      </c>
      <c r="D549" s="6" t="s">
        <v>309</v>
      </c>
      <c r="E549">
        <f t="shared" ca="1" si="69"/>
        <v>29</v>
      </c>
      <c r="F549" s="20">
        <v>35441</v>
      </c>
      <c r="G549" s="20">
        <v>45305</v>
      </c>
      <c r="H549" s="20">
        <v>46752</v>
      </c>
      <c r="I549" s="17">
        <v>450000</v>
      </c>
      <c r="J549" s="23" t="s">
        <v>353</v>
      </c>
      <c r="K549" s="6" t="s">
        <v>492</v>
      </c>
      <c r="L549">
        <v>2</v>
      </c>
      <c r="M549">
        <v>72</v>
      </c>
      <c r="N549" s="17">
        <v>8000000</v>
      </c>
      <c r="O549" s="24">
        <f t="shared" si="70"/>
        <v>28000000</v>
      </c>
      <c r="P549" t="s">
        <v>493</v>
      </c>
      <c r="Q549">
        <f t="shared" ca="1" si="71"/>
        <v>120000</v>
      </c>
      <c r="R549" t="s">
        <v>506</v>
      </c>
      <c r="S549">
        <v>1.87</v>
      </c>
      <c r="T549" s="20">
        <f t="shared" ca="1" si="72"/>
        <v>46296</v>
      </c>
      <c r="U549">
        <f t="shared" ca="1" si="77"/>
        <v>456</v>
      </c>
      <c r="V549" t="str">
        <f t="shared" ca="1" si="73"/>
        <v>Com Contrato em vigor</v>
      </c>
      <c r="W549" s="34">
        <f t="shared" si="75"/>
        <v>2700000</v>
      </c>
      <c r="X549" s="34">
        <f t="shared" si="76"/>
        <v>5850000</v>
      </c>
    </row>
    <row r="550" spans="1:24">
      <c r="A550" t="s">
        <v>672</v>
      </c>
      <c r="B550" t="s">
        <v>666</v>
      </c>
      <c r="C550" t="s">
        <v>666</v>
      </c>
      <c r="D550" s="6" t="s">
        <v>305</v>
      </c>
      <c r="E550">
        <f t="shared" ca="1" si="69"/>
        <v>34</v>
      </c>
      <c r="F550" s="20">
        <v>33650</v>
      </c>
      <c r="G550" s="20">
        <v>45489</v>
      </c>
      <c r="H550" s="20">
        <v>46387</v>
      </c>
      <c r="I550" s="17">
        <v>500000</v>
      </c>
      <c r="J550" t="s">
        <v>348</v>
      </c>
      <c r="K550" s="6" t="s">
        <v>492</v>
      </c>
      <c r="L550">
        <v>1</v>
      </c>
      <c r="M550">
        <v>10</v>
      </c>
      <c r="N550" s="17">
        <v>8000000</v>
      </c>
      <c r="O550" s="24">
        <f t="shared" si="70"/>
        <v>28000000</v>
      </c>
      <c r="P550" t="s">
        <v>493</v>
      </c>
      <c r="Q550">
        <f t="shared" ca="1" si="71"/>
        <v>100000</v>
      </c>
      <c r="R550" t="s">
        <v>503</v>
      </c>
      <c r="S550">
        <v>1.82</v>
      </c>
      <c r="T550" s="20">
        <f t="shared" ca="1" si="72"/>
        <v>46296</v>
      </c>
      <c r="U550">
        <f t="shared" ca="1" si="77"/>
        <v>91</v>
      </c>
      <c r="V550" t="str">
        <f t="shared" ca="1" si="73"/>
        <v>Pre contrato</v>
      </c>
      <c r="W550" s="34">
        <f t="shared" si="75"/>
        <v>3000000</v>
      </c>
      <c r="X550" s="34">
        <f t="shared" si="76"/>
        <v>6500000</v>
      </c>
    </row>
    <row r="551" spans="1:24">
      <c r="A551" t="s">
        <v>673</v>
      </c>
      <c r="B551" t="s">
        <v>666</v>
      </c>
      <c r="C551" t="s">
        <v>666</v>
      </c>
      <c r="D551" s="6" t="s">
        <v>305</v>
      </c>
      <c r="E551">
        <f t="shared" ca="1" si="69"/>
        <v>27</v>
      </c>
      <c r="F551" s="20">
        <v>36274</v>
      </c>
      <c r="G551" s="20">
        <v>45474</v>
      </c>
      <c r="H551" s="20">
        <v>46568</v>
      </c>
      <c r="I551" s="17">
        <v>350000</v>
      </c>
      <c r="J551" t="s">
        <v>674</v>
      </c>
      <c r="K551" s="6" t="s">
        <v>492</v>
      </c>
      <c r="L551">
        <v>1</v>
      </c>
      <c r="M551">
        <v>21</v>
      </c>
      <c r="N551" s="17">
        <v>5000000</v>
      </c>
      <c r="O551" s="24">
        <f t="shared" si="70"/>
        <v>17500000</v>
      </c>
      <c r="P551" t="s">
        <v>497</v>
      </c>
      <c r="Q551">
        <f t="shared" ca="1" si="71"/>
        <v>120000</v>
      </c>
      <c r="R551" t="s">
        <v>506</v>
      </c>
      <c r="S551">
        <v>1.89</v>
      </c>
      <c r="T551" s="20">
        <f t="shared" ca="1" si="72"/>
        <v>46296</v>
      </c>
      <c r="U551">
        <f t="shared" ca="1" si="77"/>
        <v>272</v>
      </c>
      <c r="V551" t="str">
        <f t="shared" ca="1" si="73"/>
        <v>Com Contrato em vigor</v>
      </c>
      <c r="W551" s="34">
        <f t="shared" si="75"/>
        <v>2100000</v>
      </c>
      <c r="X551" s="34">
        <f t="shared" si="76"/>
        <v>4550000</v>
      </c>
    </row>
    <row r="552" spans="1:24">
      <c r="A552" t="s">
        <v>675</v>
      </c>
      <c r="B552" t="s">
        <v>666</v>
      </c>
      <c r="C552" t="s">
        <v>666</v>
      </c>
      <c r="D552" s="6" t="s">
        <v>305</v>
      </c>
      <c r="E552">
        <f t="shared" ca="1" si="69"/>
        <v>33</v>
      </c>
      <c r="F552" s="20">
        <v>34052</v>
      </c>
      <c r="G552" s="20">
        <v>45306</v>
      </c>
      <c r="H552" s="20">
        <v>46022</v>
      </c>
      <c r="I552" s="17">
        <v>450000</v>
      </c>
      <c r="J552" t="s">
        <v>376</v>
      </c>
      <c r="K552" s="6" t="s">
        <v>492</v>
      </c>
      <c r="L552">
        <v>1</v>
      </c>
      <c r="M552">
        <v>31</v>
      </c>
      <c r="N552" s="17">
        <v>3000000</v>
      </c>
      <c r="O552" s="24">
        <f t="shared" si="70"/>
        <v>10500000</v>
      </c>
      <c r="P552" t="s">
        <v>497</v>
      </c>
      <c r="Q552">
        <f t="shared" ca="1" si="71"/>
        <v>100000</v>
      </c>
      <c r="R552" t="s">
        <v>506</v>
      </c>
      <c r="S552">
        <v>1.94</v>
      </c>
      <c r="T552" s="20">
        <f t="shared" ca="1" si="72"/>
        <v>46296</v>
      </c>
      <c r="U552">
        <f t="shared" ca="1" si="77"/>
        <v>-274</v>
      </c>
      <c r="V552" t="str">
        <f t="shared" ca="1" si="73"/>
        <v>Pre contrato</v>
      </c>
      <c r="W552" s="34">
        <f t="shared" si="75"/>
        <v>2700000</v>
      </c>
      <c r="X552" s="34">
        <f t="shared" si="76"/>
        <v>5850000</v>
      </c>
    </row>
    <row r="553" spans="1:24">
      <c r="A553" t="s">
        <v>676</v>
      </c>
      <c r="B553" t="s">
        <v>666</v>
      </c>
      <c r="C553" t="s">
        <v>666</v>
      </c>
      <c r="D553" s="6" t="s">
        <v>305</v>
      </c>
      <c r="E553">
        <f t="shared" ca="1" si="69"/>
        <v>27</v>
      </c>
      <c r="F553" s="20">
        <v>36335</v>
      </c>
      <c r="G553" s="20">
        <v>44927</v>
      </c>
      <c r="H553" s="20">
        <v>46568</v>
      </c>
      <c r="I553" s="17">
        <v>200000</v>
      </c>
      <c r="J553" t="s">
        <v>394</v>
      </c>
      <c r="K553" s="6" t="s">
        <v>492</v>
      </c>
      <c r="L553">
        <v>0</v>
      </c>
      <c r="M553">
        <v>0</v>
      </c>
      <c r="N553" s="17">
        <v>5600000</v>
      </c>
      <c r="O553" s="24">
        <f t="shared" si="70"/>
        <v>19600000</v>
      </c>
      <c r="P553" t="s">
        <v>497</v>
      </c>
      <c r="Q553">
        <f t="shared" ca="1" si="71"/>
        <v>120000</v>
      </c>
      <c r="R553" t="s">
        <v>506</v>
      </c>
      <c r="S553">
        <v>1.82</v>
      </c>
      <c r="T553" s="20">
        <f t="shared" ca="1" si="72"/>
        <v>46296</v>
      </c>
      <c r="U553">
        <f t="shared" ca="1" si="77"/>
        <v>272</v>
      </c>
      <c r="V553" t="str">
        <f t="shared" ca="1" si="73"/>
        <v>Com Contrato em vigor</v>
      </c>
      <c r="W553" s="34">
        <f t="shared" si="75"/>
        <v>1200000</v>
      </c>
      <c r="X553" s="34">
        <f t="shared" si="76"/>
        <v>2600000</v>
      </c>
    </row>
    <row r="554" spans="1:24">
      <c r="A554" t="s">
        <v>677</v>
      </c>
      <c r="B554" t="s">
        <v>666</v>
      </c>
      <c r="C554" t="s">
        <v>666</v>
      </c>
      <c r="D554" s="6" t="s">
        <v>305</v>
      </c>
      <c r="E554">
        <f t="shared" ca="1" si="69"/>
        <v>27</v>
      </c>
      <c r="F554" s="22">
        <v>36275</v>
      </c>
      <c r="G554" s="20">
        <v>45358</v>
      </c>
      <c r="H554" s="20">
        <v>47118</v>
      </c>
      <c r="I554" s="17">
        <v>350000</v>
      </c>
      <c r="J554" t="s">
        <v>462</v>
      </c>
      <c r="K554" s="6" t="s">
        <v>492</v>
      </c>
      <c r="L554">
        <v>1</v>
      </c>
      <c r="M554">
        <v>13</v>
      </c>
      <c r="N554" s="17">
        <v>9000000</v>
      </c>
      <c r="O554" s="24">
        <f t="shared" si="70"/>
        <v>31500000</v>
      </c>
      <c r="P554" t="s">
        <v>493</v>
      </c>
      <c r="Q554">
        <f t="shared" ca="1" si="71"/>
        <v>120000</v>
      </c>
      <c r="R554" t="s">
        <v>503</v>
      </c>
      <c r="S554">
        <v>1.87</v>
      </c>
      <c r="T554" s="20">
        <f t="shared" ca="1" si="72"/>
        <v>46296</v>
      </c>
      <c r="U554">
        <f t="shared" ca="1" si="77"/>
        <v>822</v>
      </c>
      <c r="V554" t="str">
        <f t="shared" ca="1" si="73"/>
        <v>Com Contrato em vigor</v>
      </c>
      <c r="W554" s="34">
        <f t="shared" si="75"/>
        <v>2100000</v>
      </c>
      <c r="X554" s="34">
        <f t="shared" si="76"/>
        <v>4550000</v>
      </c>
    </row>
    <row r="555" spans="1:24">
      <c r="A555" t="s">
        <v>678</v>
      </c>
      <c r="B555" t="s">
        <v>666</v>
      </c>
      <c r="C555" t="s">
        <v>666</v>
      </c>
      <c r="D555" s="6" t="s">
        <v>309</v>
      </c>
      <c r="E555">
        <f t="shared" ca="1" si="69"/>
        <v>27</v>
      </c>
      <c r="F555" s="22">
        <v>36353</v>
      </c>
      <c r="G555" s="20">
        <v>45293</v>
      </c>
      <c r="H555" s="20">
        <v>46752</v>
      </c>
      <c r="I555" s="17">
        <v>475000</v>
      </c>
      <c r="J555" t="s">
        <v>679</v>
      </c>
      <c r="K555" s="6" t="s">
        <v>496</v>
      </c>
      <c r="L555">
        <v>1</v>
      </c>
      <c r="M555">
        <v>270</v>
      </c>
      <c r="N555" s="17">
        <v>6000000</v>
      </c>
      <c r="O555" s="24">
        <f t="shared" si="70"/>
        <v>21000000</v>
      </c>
      <c r="P555" t="s">
        <v>497</v>
      </c>
      <c r="Q555">
        <f t="shared" ca="1" si="71"/>
        <v>120000</v>
      </c>
      <c r="R555" t="s">
        <v>503</v>
      </c>
      <c r="S555">
        <v>1.69</v>
      </c>
      <c r="T555" s="20">
        <f t="shared" ca="1" si="72"/>
        <v>46296</v>
      </c>
      <c r="U555">
        <f t="shared" ca="1" si="77"/>
        <v>456</v>
      </c>
      <c r="V555" t="str">
        <f t="shared" ca="1" si="73"/>
        <v>Com Contrato em vigor</v>
      </c>
      <c r="W555" s="34">
        <f t="shared" si="75"/>
        <v>2850000</v>
      </c>
      <c r="X555" s="34">
        <f t="shared" si="76"/>
        <v>6175000</v>
      </c>
    </row>
    <row r="556" spans="1:24">
      <c r="A556" t="s">
        <v>680</v>
      </c>
      <c r="B556" t="s">
        <v>666</v>
      </c>
      <c r="C556" t="s">
        <v>666</v>
      </c>
      <c r="D556" s="6" t="s">
        <v>305</v>
      </c>
      <c r="E556">
        <f t="shared" ca="1" si="69"/>
        <v>27</v>
      </c>
      <c r="F556" s="20">
        <v>36284</v>
      </c>
      <c r="G556" s="20">
        <v>44927</v>
      </c>
      <c r="H556" s="20">
        <v>46022</v>
      </c>
      <c r="I556" s="17">
        <v>450000</v>
      </c>
      <c r="J556" t="s">
        <v>681</v>
      </c>
      <c r="K556" s="6" t="s">
        <v>496</v>
      </c>
      <c r="L556">
        <v>0</v>
      </c>
      <c r="M556">
        <v>0</v>
      </c>
      <c r="N556" s="17">
        <v>11000000</v>
      </c>
      <c r="O556" s="24">
        <f t="shared" si="70"/>
        <v>38500000</v>
      </c>
      <c r="P556" t="s">
        <v>497</v>
      </c>
      <c r="Q556">
        <f t="shared" ca="1" si="71"/>
        <v>120000</v>
      </c>
      <c r="R556" t="s">
        <v>506</v>
      </c>
      <c r="S556">
        <v>1.72</v>
      </c>
      <c r="T556" s="20">
        <f t="shared" ca="1" si="72"/>
        <v>46296</v>
      </c>
      <c r="U556">
        <f t="shared" ca="1" si="77"/>
        <v>-274</v>
      </c>
      <c r="V556" t="str">
        <f t="shared" ca="1" si="73"/>
        <v>Pre contrato</v>
      </c>
      <c r="W556" s="34">
        <f t="shared" si="75"/>
        <v>2700000</v>
      </c>
      <c r="X556" s="34">
        <f t="shared" si="76"/>
        <v>5850000</v>
      </c>
    </row>
    <row r="557" spans="1:24">
      <c r="A557" t="s">
        <v>682</v>
      </c>
      <c r="B557" t="s">
        <v>666</v>
      </c>
      <c r="C557" t="s">
        <v>666</v>
      </c>
      <c r="D557" s="6" t="s">
        <v>305</v>
      </c>
      <c r="E557">
        <f t="shared" ca="1" si="69"/>
        <v>29</v>
      </c>
      <c r="F557" s="20">
        <v>35671</v>
      </c>
      <c r="G557" s="20">
        <v>45302</v>
      </c>
      <c r="H557" s="20">
        <v>46387</v>
      </c>
      <c r="I557" s="17">
        <v>200000</v>
      </c>
      <c r="J557" t="s">
        <v>348</v>
      </c>
      <c r="K557" s="6" t="s">
        <v>496</v>
      </c>
      <c r="L557">
        <v>1</v>
      </c>
      <c r="M557">
        <v>35</v>
      </c>
      <c r="N557" s="17">
        <v>3000000</v>
      </c>
      <c r="O557" s="24">
        <f t="shared" si="70"/>
        <v>10500000</v>
      </c>
      <c r="P557" t="s">
        <v>497</v>
      </c>
      <c r="Q557">
        <f t="shared" ca="1" si="71"/>
        <v>120000</v>
      </c>
      <c r="R557" t="s">
        <v>506</v>
      </c>
      <c r="S557">
        <v>1.79</v>
      </c>
      <c r="T557" s="20">
        <f t="shared" ca="1" si="72"/>
        <v>46296</v>
      </c>
      <c r="U557">
        <f t="shared" ca="1" si="77"/>
        <v>91</v>
      </c>
      <c r="V557" t="str">
        <f t="shared" ca="1" si="73"/>
        <v>Pre contrato</v>
      </c>
      <c r="W557" s="34">
        <f t="shared" si="75"/>
        <v>1200000</v>
      </c>
      <c r="X557" s="34">
        <f t="shared" si="76"/>
        <v>2600000</v>
      </c>
    </row>
    <row r="558" spans="1:24">
      <c r="A558" t="s">
        <v>683</v>
      </c>
      <c r="B558" t="s">
        <v>666</v>
      </c>
      <c r="C558" t="s">
        <v>666</v>
      </c>
      <c r="D558" s="6" t="s">
        <v>305</v>
      </c>
      <c r="E558">
        <f t="shared" ca="1" si="69"/>
        <v>26</v>
      </c>
      <c r="F558" s="20">
        <v>36777</v>
      </c>
      <c r="G558" s="20">
        <v>45338</v>
      </c>
      <c r="H558" s="20">
        <v>47118</v>
      </c>
      <c r="I558" s="17">
        <v>450000</v>
      </c>
      <c r="J558" t="s">
        <v>400</v>
      </c>
      <c r="K558" s="6" t="s">
        <v>498</v>
      </c>
      <c r="L558">
        <v>1</v>
      </c>
      <c r="M558">
        <v>20</v>
      </c>
      <c r="N558" s="17">
        <v>15000000</v>
      </c>
      <c r="O558" s="24">
        <f t="shared" si="70"/>
        <v>52500000</v>
      </c>
      <c r="P558" t="s">
        <v>493</v>
      </c>
      <c r="Q558">
        <f t="shared" ca="1" si="71"/>
        <v>120000</v>
      </c>
      <c r="R558" t="s">
        <v>503</v>
      </c>
      <c r="S558">
        <v>1.71</v>
      </c>
      <c r="T558" s="20">
        <f t="shared" ca="1" si="72"/>
        <v>46296</v>
      </c>
      <c r="U558">
        <f t="shared" ca="1" si="77"/>
        <v>822</v>
      </c>
      <c r="V558" t="str">
        <f t="shared" ca="1" si="73"/>
        <v>Com Contrato em vigor</v>
      </c>
      <c r="W558" s="34">
        <f t="shared" si="75"/>
        <v>2700000</v>
      </c>
      <c r="X558" s="34">
        <f t="shared" si="76"/>
        <v>5850000</v>
      </c>
    </row>
    <row r="559" spans="1:24">
      <c r="A559" t="s">
        <v>684</v>
      </c>
      <c r="B559" t="s">
        <v>666</v>
      </c>
      <c r="C559" t="s">
        <v>666</v>
      </c>
      <c r="D559" s="6" t="s">
        <v>305</v>
      </c>
      <c r="E559">
        <f t="shared" ca="1" si="69"/>
        <v>37</v>
      </c>
      <c r="F559" s="20">
        <v>32670</v>
      </c>
      <c r="G559" s="20">
        <v>44927</v>
      </c>
      <c r="H559" s="20">
        <v>46022</v>
      </c>
      <c r="I559" s="17">
        <v>750000</v>
      </c>
      <c r="J559" t="s">
        <v>401</v>
      </c>
      <c r="K559" s="6" t="s">
        <v>498</v>
      </c>
      <c r="L559">
        <v>3</v>
      </c>
      <c r="M559">
        <v>30</v>
      </c>
      <c r="N559" s="17">
        <v>1000000</v>
      </c>
      <c r="O559" s="24">
        <f t="shared" si="70"/>
        <v>3500000</v>
      </c>
      <c r="P559" t="s">
        <v>493</v>
      </c>
      <c r="Q559">
        <f t="shared" ca="1" si="71"/>
        <v>100000</v>
      </c>
      <c r="R559" t="s">
        <v>503</v>
      </c>
      <c r="S559">
        <v>1.69</v>
      </c>
      <c r="T559" s="20">
        <f t="shared" ca="1" si="72"/>
        <v>46296</v>
      </c>
      <c r="U559">
        <f t="shared" ca="1" si="77"/>
        <v>-274</v>
      </c>
      <c r="V559" t="str">
        <f t="shared" ca="1" si="73"/>
        <v>Pre contrato</v>
      </c>
      <c r="W559" s="34">
        <f t="shared" si="75"/>
        <v>4500000</v>
      </c>
      <c r="X559" s="34">
        <f t="shared" si="76"/>
        <v>9750000</v>
      </c>
    </row>
    <row r="560" spans="1:24">
      <c r="A560" t="s">
        <v>685</v>
      </c>
      <c r="B560" t="s">
        <v>666</v>
      </c>
      <c r="C560" t="s">
        <v>666</v>
      </c>
      <c r="D560" s="6" t="s">
        <v>305</v>
      </c>
      <c r="E560">
        <f t="shared" ca="1" si="69"/>
        <v>22</v>
      </c>
      <c r="F560" s="20">
        <v>38083</v>
      </c>
      <c r="G560" s="20">
        <v>45292</v>
      </c>
      <c r="H560" s="20">
        <v>47483</v>
      </c>
      <c r="I560" s="17">
        <v>120000</v>
      </c>
      <c r="J560" t="s">
        <v>686</v>
      </c>
      <c r="K560" s="6" t="s">
        <v>498</v>
      </c>
      <c r="L560">
        <v>0</v>
      </c>
      <c r="M560">
        <v>0</v>
      </c>
      <c r="N560" s="17">
        <v>1200000</v>
      </c>
      <c r="O560" s="24">
        <f t="shared" si="70"/>
        <v>4200000</v>
      </c>
      <c r="P560" t="s">
        <v>493</v>
      </c>
      <c r="Q560">
        <f t="shared" ca="1" si="71"/>
        <v>160000</v>
      </c>
      <c r="R560" t="s">
        <v>503</v>
      </c>
      <c r="S560">
        <v>1.79</v>
      </c>
      <c r="T560" s="20">
        <f t="shared" ca="1" si="72"/>
        <v>46296</v>
      </c>
      <c r="U560">
        <f t="shared" ca="1" si="77"/>
        <v>1187</v>
      </c>
      <c r="V560" t="str">
        <f t="shared" ca="1" si="73"/>
        <v>Com Contrato em vigor</v>
      </c>
      <c r="W560" s="34">
        <f t="shared" si="75"/>
        <v>720000</v>
      </c>
      <c r="X560" s="34">
        <f t="shared" si="76"/>
        <v>1560000</v>
      </c>
    </row>
    <row r="561" spans="1:24">
      <c r="A561" t="s">
        <v>687</v>
      </c>
      <c r="B561" t="s">
        <v>666</v>
      </c>
      <c r="C561" t="s">
        <v>666</v>
      </c>
      <c r="D561" s="6" t="s">
        <v>307</v>
      </c>
      <c r="E561">
        <f t="shared" ca="1" si="69"/>
        <v>32</v>
      </c>
      <c r="F561" s="20">
        <v>34553</v>
      </c>
      <c r="G561" s="20">
        <v>45530</v>
      </c>
      <c r="H561" s="20">
        <v>46752</v>
      </c>
      <c r="I561" s="17">
        <v>650000</v>
      </c>
      <c r="J561" t="s">
        <v>688</v>
      </c>
      <c r="K561" s="6" t="s">
        <v>494</v>
      </c>
      <c r="L561">
        <v>1</v>
      </c>
      <c r="M561">
        <v>10</v>
      </c>
      <c r="N561" s="17">
        <v>1300000</v>
      </c>
      <c r="O561" s="24">
        <f t="shared" si="70"/>
        <v>4550000</v>
      </c>
      <c r="P561" t="s">
        <v>493</v>
      </c>
      <c r="Q561">
        <f t="shared" ca="1" si="71"/>
        <v>100000</v>
      </c>
      <c r="R561" t="s">
        <v>503</v>
      </c>
      <c r="S561">
        <v>1.79</v>
      </c>
      <c r="T561" s="20">
        <f t="shared" ca="1" si="72"/>
        <v>46296</v>
      </c>
      <c r="U561">
        <f t="shared" ca="1" si="77"/>
        <v>456</v>
      </c>
      <c r="V561" t="str">
        <f t="shared" ca="1" si="73"/>
        <v>Com Contrato em vigor</v>
      </c>
      <c r="W561" s="34">
        <f t="shared" si="75"/>
        <v>3900000</v>
      </c>
      <c r="X561" s="34">
        <f t="shared" si="76"/>
        <v>8450000</v>
      </c>
    </row>
    <row r="562" spans="1:24">
      <c r="A562" t="s">
        <v>689</v>
      </c>
      <c r="B562" t="s">
        <v>666</v>
      </c>
      <c r="C562" t="s">
        <v>666</v>
      </c>
      <c r="D562" s="6" t="s">
        <v>305</v>
      </c>
      <c r="E562">
        <f t="shared" ca="1" si="69"/>
        <v>29</v>
      </c>
      <c r="F562" s="20">
        <v>35430</v>
      </c>
      <c r="G562" s="20">
        <v>45292</v>
      </c>
      <c r="H562" s="20">
        <v>47118</v>
      </c>
      <c r="I562" s="17">
        <v>350000</v>
      </c>
      <c r="J562" t="s">
        <v>348</v>
      </c>
      <c r="K562" s="6" t="s">
        <v>494</v>
      </c>
      <c r="L562">
        <v>1</v>
      </c>
      <c r="M562">
        <v>25</v>
      </c>
      <c r="N562" s="17">
        <v>8000000</v>
      </c>
      <c r="O562" s="24">
        <f t="shared" si="70"/>
        <v>28000000</v>
      </c>
      <c r="P562" t="s">
        <v>493</v>
      </c>
      <c r="Q562">
        <f t="shared" ca="1" si="71"/>
        <v>120000</v>
      </c>
      <c r="R562" t="s">
        <v>506</v>
      </c>
      <c r="S562">
        <v>1.84</v>
      </c>
      <c r="T562" s="20">
        <f t="shared" ca="1" si="72"/>
        <v>46296</v>
      </c>
      <c r="U562">
        <f t="shared" ca="1" si="77"/>
        <v>822</v>
      </c>
      <c r="V562" t="str">
        <f t="shared" ca="1" si="73"/>
        <v>Com Contrato em vigor</v>
      </c>
      <c r="W562" s="34">
        <f t="shared" si="75"/>
        <v>2100000</v>
      </c>
      <c r="X562" s="34">
        <f t="shared" si="76"/>
        <v>4550000</v>
      </c>
    </row>
    <row r="563" spans="1:24">
      <c r="A563" t="s">
        <v>690</v>
      </c>
      <c r="B563" t="s">
        <v>666</v>
      </c>
      <c r="C563" t="s">
        <v>666</v>
      </c>
      <c r="D563" s="6" t="s">
        <v>305</v>
      </c>
      <c r="E563">
        <f t="shared" ca="1" si="69"/>
        <v>23</v>
      </c>
      <c r="F563" s="20">
        <v>37817</v>
      </c>
      <c r="G563" s="20">
        <v>45323</v>
      </c>
      <c r="H563" s="20">
        <v>47118</v>
      </c>
      <c r="I563" s="17">
        <v>150000</v>
      </c>
      <c r="J563" t="s">
        <v>348</v>
      </c>
      <c r="K563" s="6" t="s">
        <v>494</v>
      </c>
      <c r="L563">
        <v>0</v>
      </c>
      <c r="M563">
        <v>0</v>
      </c>
      <c r="N563" s="17">
        <v>5500000</v>
      </c>
      <c r="O563" s="24">
        <f t="shared" si="70"/>
        <v>19250000</v>
      </c>
      <c r="P563" t="s">
        <v>493</v>
      </c>
      <c r="Q563">
        <f t="shared" ca="1" si="71"/>
        <v>160000</v>
      </c>
      <c r="R563" t="s">
        <v>506</v>
      </c>
      <c r="S563">
        <v>1.7</v>
      </c>
      <c r="T563" s="20">
        <f t="shared" ca="1" si="72"/>
        <v>46296</v>
      </c>
      <c r="U563">
        <f t="shared" ca="1" si="77"/>
        <v>822</v>
      </c>
      <c r="V563" t="str">
        <f t="shared" ca="1" si="73"/>
        <v>Com Contrato em vigor</v>
      </c>
      <c r="W563" s="34">
        <f t="shared" si="75"/>
        <v>900000</v>
      </c>
      <c r="X563" s="34">
        <f t="shared" si="76"/>
        <v>1950000</v>
      </c>
    </row>
    <row r="564" spans="1:24">
      <c r="A564" t="s">
        <v>691</v>
      </c>
      <c r="B564" t="s">
        <v>666</v>
      </c>
      <c r="C564" t="s">
        <v>692</v>
      </c>
      <c r="D564" s="6" t="s">
        <v>305</v>
      </c>
      <c r="E564">
        <f t="shared" ca="1" si="69"/>
        <v>29</v>
      </c>
      <c r="F564" s="20">
        <v>35626</v>
      </c>
      <c r="G564" s="20">
        <v>44935</v>
      </c>
      <c r="H564" s="20">
        <v>46387</v>
      </c>
      <c r="I564" s="17">
        <v>500000</v>
      </c>
      <c r="J564" t="s">
        <v>388</v>
      </c>
      <c r="K564" s="6" t="s">
        <v>494</v>
      </c>
      <c r="L564">
        <v>1</v>
      </c>
      <c r="M564">
        <v>300</v>
      </c>
      <c r="N564" s="17">
        <v>7000000</v>
      </c>
      <c r="O564" s="24">
        <f t="shared" si="70"/>
        <v>24500000</v>
      </c>
      <c r="P564" t="s">
        <v>497</v>
      </c>
      <c r="Q564">
        <f t="shared" ca="1" si="71"/>
        <v>120000</v>
      </c>
      <c r="R564" t="s">
        <v>506</v>
      </c>
      <c r="S564">
        <v>1.74</v>
      </c>
      <c r="T564" s="20">
        <f t="shared" ca="1" si="72"/>
        <v>46296</v>
      </c>
      <c r="U564">
        <f t="shared" ca="1" si="77"/>
        <v>91</v>
      </c>
      <c r="V564" t="str">
        <f t="shared" ca="1" si="73"/>
        <v>Pre contrato</v>
      </c>
      <c r="W564" s="34">
        <f t="shared" si="75"/>
        <v>3000000</v>
      </c>
      <c r="X564" s="34">
        <f t="shared" si="76"/>
        <v>6500000</v>
      </c>
    </row>
    <row r="565" spans="1:24">
      <c r="A565" t="s">
        <v>693</v>
      </c>
      <c r="B565" t="s">
        <v>666</v>
      </c>
      <c r="C565" t="s">
        <v>666</v>
      </c>
      <c r="D565" s="6" t="s">
        <v>344</v>
      </c>
      <c r="E565">
        <f t="shared" ca="1" si="69"/>
        <v>35</v>
      </c>
      <c r="F565" s="20">
        <v>33403</v>
      </c>
      <c r="G565" s="20">
        <v>45545</v>
      </c>
      <c r="H565" s="20">
        <v>46387</v>
      </c>
      <c r="I565" s="17">
        <v>650000</v>
      </c>
      <c r="J565" t="s">
        <v>364</v>
      </c>
      <c r="K565" s="6" t="s">
        <v>494</v>
      </c>
      <c r="L565">
        <v>0</v>
      </c>
      <c r="M565">
        <v>0</v>
      </c>
      <c r="N565" s="17">
        <v>4000000</v>
      </c>
      <c r="O565" s="24">
        <f t="shared" si="70"/>
        <v>14000000</v>
      </c>
      <c r="P565" t="s">
        <v>493</v>
      </c>
      <c r="Q565">
        <f t="shared" ca="1" si="71"/>
        <v>100000</v>
      </c>
      <c r="R565" t="s">
        <v>503</v>
      </c>
      <c r="S565">
        <v>1.8</v>
      </c>
      <c r="T565" s="20">
        <f t="shared" ca="1" si="72"/>
        <v>46296</v>
      </c>
      <c r="U565">
        <f t="shared" ca="1" si="77"/>
        <v>91</v>
      </c>
      <c r="V565" t="str">
        <f t="shared" ca="1" si="73"/>
        <v>Pre contrato</v>
      </c>
      <c r="W565" s="34">
        <f t="shared" si="75"/>
        <v>3900000</v>
      </c>
      <c r="X565" s="34">
        <f t="shared" si="76"/>
        <v>8450000</v>
      </c>
    </row>
    <row r="566" spans="1:24">
      <c r="A566" t="s">
        <v>694</v>
      </c>
      <c r="B566" t="s">
        <v>666</v>
      </c>
      <c r="C566" t="s">
        <v>666</v>
      </c>
      <c r="D566" s="6" t="s">
        <v>305</v>
      </c>
      <c r="E566">
        <f t="shared" ca="1" si="69"/>
        <v>31</v>
      </c>
      <c r="F566" s="20">
        <v>34832</v>
      </c>
      <c r="G566" s="20">
        <v>45488</v>
      </c>
      <c r="H566" s="20">
        <v>46752</v>
      </c>
      <c r="I566" s="17">
        <v>350000</v>
      </c>
      <c r="J566" t="s">
        <v>695</v>
      </c>
      <c r="K566" s="6" t="s">
        <v>494</v>
      </c>
      <c r="L566">
        <v>0</v>
      </c>
      <c r="M566">
        <v>0</v>
      </c>
      <c r="N566" s="17">
        <v>6000000</v>
      </c>
      <c r="O566" s="24">
        <f t="shared" si="70"/>
        <v>21000000</v>
      </c>
      <c r="P566" t="s">
        <v>493</v>
      </c>
      <c r="Q566">
        <f t="shared" ca="1" si="71"/>
        <v>100000</v>
      </c>
      <c r="R566" t="s">
        <v>506</v>
      </c>
      <c r="S566">
        <v>1.82</v>
      </c>
      <c r="T566" s="20">
        <f t="shared" ca="1" si="72"/>
        <v>46296</v>
      </c>
      <c r="U566">
        <f t="shared" ca="1" si="77"/>
        <v>456</v>
      </c>
      <c r="V566" t="str">
        <f t="shared" ca="1" si="73"/>
        <v>Com Contrato em vigor</v>
      </c>
      <c r="W566" s="34">
        <f t="shared" si="75"/>
        <v>2100000</v>
      </c>
      <c r="X566" s="34">
        <f t="shared" si="76"/>
        <v>4550000</v>
      </c>
    </row>
    <row r="567" spans="1:24">
      <c r="A567" t="s">
        <v>696</v>
      </c>
      <c r="B567" t="s">
        <v>666</v>
      </c>
      <c r="C567" t="s">
        <v>666</v>
      </c>
      <c r="D567" s="6" t="s">
        <v>305</v>
      </c>
      <c r="E567">
        <f t="shared" ca="1" si="69"/>
        <v>38</v>
      </c>
      <c r="F567" s="20">
        <v>32349</v>
      </c>
      <c r="G567" s="20">
        <v>45474</v>
      </c>
      <c r="H567" s="20">
        <v>45657</v>
      </c>
      <c r="I567" s="17">
        <v>700000</v>
      </c>
      <c r="J567" t="s">
        <v>348</v>
      </c>
      <c r="K567" s="6" t="s">
        <v>494</v>
      </c>
      <c r="L567">
        <v>1</v>
      </c>
      <c r="M567">
        <v>45</v>
      </c>
      <c r="N567" s="17">
        <v>0</v>
      </c>
      <c r="O567" s="24">
        <f t="shared" si="70"/>
        <v>0</v>
      </c>
      <c r="P567" t="s">
        <v>493</v>
      </c>
      <c r="Q567">
        <f t="shared" ca="1" si="71"/>
        <v>100000</v>
      </c>
      <c r="R567" t="s">
        <v>506</v>
      </c>
      <c r="S567">
        <v>1.83</v>
      </c>
      <c r="T567" s="20">
        <f t="shared" ca="1" si="72"/>
        <v>46296</v>
      </c>
      <c r="U567">
        <f t="shared" ca="1" si="77"/>
        <v>-639</v>
      </c>
      <c r="V567" t="str">
        <f t="shared" ca="1" si="73"/>
        <v>Pre contrato</v>
      </c>
      <c r="W567" s="34">
        <f t="shared" si="75"/>
        <v>4200000</v>
      </c>
      <c r="X567" s="34">
        <f t="shared" si="76"/>
        <v>9100000</v>
      </c>
    </row>
    <row r="568" spans="1:24">
      <c r="A568" t="s">
        <v>697</v>
      </c>
      <c r="B568" t="s">
        <v>666</v>
      </c>
      <c r="C568" t="s">
        <v>666</v>
      </c>
      <c r="D568" s="6" t="s">
        <v>305</v>
      </c>
      <c r="E568">
        <f t="shared" ca="1" si="69"/>
        <v>30</v>
      </c>
      <c r="F568" s="20">
        <v>35235</v>
      </c>
      <c r="G568" s="20">
        <v>45497</v>
      </c>
      <c r="H568" s="20">
        <v>47118</v>
      </c>
      <c r="I568" s="17">
        <v>400000</v>
      </c>
      <c r="J568" t="s">
        <v>357</v>
      </c>
      <c r="K568" s="6" t="s">
        <v>494</v>
      </c>
      <c r="L568">
        <v>0</v>
      </c>
      <c r="M568">
        <v>0</v>
      </c>
      <c r="N568" s="17">
        <v>6000000</v>
      </c>
      <c r="O568" s="24">
        <f t="shared" si="70"/>
        <v>21000000</v>
      </c>
      <c r="P568" t="s">
        <v>493</v>
      </c>
      <c r="Q568">
        <f t="shared" ca="1" si="71"/>
        <v>120000</v>
      </c>
      <c r="R568" t="s">
        <v>506</v>
      </c>
      <c r="S568">
        <v>1.87</v>
      </c>
      <c r="T568" s="20">
        <f t="shared" ca="1" si="72"/>
        <v>46296</v>
      </c>
      <c r="U568">
        <f t="shared" ca="1" si="77"/>
        <v>822</v>
      </c>
      <c r="V568" t="str">
        <f t="shared" ca="1" si="73"/>
        <v>Com Contrato em vigor</v>
      </c>
      <c r="W568" s="34">
        <f t="shared" si="75"/>
        <v>2400000</v>
      </c>
      <c r="X568" s="34">
        <f t="shared" si="76"/>
        <v>5200000</v>
      </c>
    </row>
    <row r="569" spans="1:24">
      <c r="A569" t="s">
        <v>698</v>
      </c>
      <c r="B569" t="s">
        <v>666</v>
      </c>
      <c r="C569" t="s">
        <v>666</v>
      </c>
      <c r="D569" s="6" t="s">
        <v>305</v>
      </c>
      <c r="E569">
        <f t="shared" ca="1" si="69"/>
        <v>26</v>
      </c>
      <c r="F569" s="20">
        <v>36608</v>
      </c>
      <c r="G569" s="20">
        <v>43570</v>
      </c>
      <c r="H569" s="20">
        <v>46022</v>
      </c>
      <c r="I569" s="17">
        <v>125000</v>
      </c>
      <c r="J569" t="s">
        <v>699</v>
      </c>
      <c r="K569" s="6" t="s">
        <v>494</v>
      </c>
      <c r="L569">
        <v>0</v>
      </c>
      <c r="M569">
        <v>0</v>
      </c>
      <c r="N569" s="17">
        <v>500000</v>
      </c>
      <c r="O569" s="24">
        <f t="shared" si="70"/>
        <v>1750000</v>
      </c>
      <c r="P569" t="s">
        <v>493</v>
      </c>
      <c r="Q569">
        <f t="shared" ca="1" si="71"/>
        <v>120000</v>
      </c>
      <c r="R569" t="s">
        <v>506</v>
      </c>
      <c r="S569">
        <v>1.76</v>
      </c>
      <c r="T569" s="20">
        <f t="shared" ca="1" si="72"/>
        <v>46296</v>
      </c>
      <c r="U569">
        <f t="shared" ca="1" si="77"/>
        <v>-274</v>
      </c>
      <c r="V569" t="str">
        <f t="shared" ca="1" si="73"/>
        <v>Pre contrato</v>
      </c>
      <c r="W569" s="34">
        <f t="shared" si="75"/>
        <v>750000</v>
      </c>
      <c r="X569" s="34">
        <f t="shared" si="76"/>
        <v>1625000</v>
      </c>
    </row>
    <row r="570" spans="1:24">
      <c r="A570" t="s">
        <v>700</v>
      </c>
      <c r="B570" t="s">
        <v>666</v>
      </c>
      <c r="C570" t="s">
        <v>666</v>
      </c>
      <c r="D570" s="6" t="s">
        <v>305</v>
      </c>
      <c r="E570">
        <f t="shared" ca="1" si="69"/>
        <v>21</v>
      </c>
      <c r="F570" s="20">
        <v>38403</v>
      </c>
      <c r="G570" s="20">
        <v>45352</v>
      </c>
      <c r="H570" s="20">
        <v>47483</v>
      </c>
      <c r="I570" s="17">
        <v>350000</v>
      </c>
      <c r="J570" t="s">
        <v>481</v>
      </c>
      <c r="K570" s="6" t="s">
        <v>499</v>
      </c>
      <c r="L570">
        <v>0</v>
      </c>
      <c r="M570">
        <v>0</v>
      </c>
      <c r="N570" s="17">
        <v>16000000</v>
      </c>
      <c r="O570" s="24">
        <f t="shared" si="70"/>
        <v>56000000</v>
      </c>
      <c r="P570" t="s">
        <v>493</v>
      </c>
      <c r="Q570">
        <f t="shared" ca="1" si="71"/>
        <v>160000</v>
      </c>
      <c r="R570" t="s">
        <v>506</v>
      </c>
      <c r="S570">
        <v>1.78</v>
      </c>
      <c r="T570" s="20">
        <f t="shared" ca="1" si="72"/>
        <v>46296</v>
      </c>
      <c r="U570">
        <f t="shared" ca="1" si="77"/>
        <v>1187</v>
      </c>
      <c r="V570" t="str">
        <f t="shared" ca="1" si="73"/>
        <v>Com Contrato em vigor</v>
      </c>
      <c r="W570" s="34">
        <f t="shared" si="75"/>
        <v>2100000</v>
      </c>
      <c r="X570" s="34">
        <f t="shared" si="76"/>
        <v>4550000</v>
      </c>
    </row>
    <row r="571" spans="1:24">
      <c r="A571" t="s">
        <v>701</v>
      </c>
      <c r="B571" t="s">
        <v>666</v>
      </c>
      <c r="C571" t="s">
        <v>666</v>
      </c>
      <c r="D571" s="6" t="s">
        <v>305</v>
      </c>
      <c r="E571">
        <f t="shared" ca="1" si="69"/>
        <v>34</v>
      </c>
      <c r="F571" s="20">
        <v>33834</v>
      </c>
      <c r="G571" s="20">
        <v>45338</v>
      </c>
      <c r="H571" s="20">
        <v>46387</v>
      </c>
      <c r="I571" s="17">
        <v>2000000</v>
      </c>
      <c r="J571" t="s">
        <v>702</v>
      </c>
      <c r="K571" s="6" t="s">
        <v>499</v>
      </c>
      <c r="L571">
        <v>1</v>
      </c>
      <c r="M571">
        <v>23</v>
      </c>
      <c r="N571" s="17">
        <v>8000000</v>
      </c>
      <c r="O571" s="24">
        <f t="shared" si="70"/>
        <v>28000000</v>
      </c>
      <c r="P571" t="s">
        <v>493</v>
      </c>
      <c r="Q571">
        <f t="shared" ca="1" si="71"/>
        <v>100000</v>
      </c>
      <c r="R571" t="s">
        <v>506</v>
      </c>
      <c r="S571">
        <v>1.7</v>
      </c>
      <c r="T571" s="20">
        <f t="shared" ca="1" si="72"/>
        <v>46296</v>
      </c>
      <c r="U571">
        <f t="shared" ca="1" si="77"/>
        <v>91</v>
      </c>
      <c r="V571" t="str">
        <f t="shared" ca="1" si="73"/>
        <v>Pre contrato</v>
      </c>
      <c r="W571" s="34">
        <f t="shared" si="75"/>
        <v>12000000</v>
      </c>
      <c r="X571" s="34">
        <f t="shared" si="76"/>
        <v>26000000</v>
      </c>
    </row>
    <row r="572" spans="1:24">
      <c r="A572" t="s">
        <v>703</v>
      </c>
      <c r="B572" t="s">
        <v>666</v>
      </c>
      <c r="C572" t="s">
        <v>666</v>
      </c>
      <c r="D572" s="6" t="s">
        <v>342</v>
      </c>
      <c r="E572">
        <f t="shared" ca="1" si="69"/>
        <v>28</v>
      </c>
      <c r="F572" s="20">
        <v>35799</v>
      </c>
      <c r="G572" s="20">
        <v>45293</v>
      </c>
      <c r="H572" s="20">
        <v>47118</v>
      </c>
      <c r="I572" s="17">
        <v>650000</v>
      </c>
      <c r="J572" t="s">
        <v>348</v>
      </c>
      <c r="K572" s="6" t="s">
        <v>499</v>
      </c>
      <c r="L572">
        <v>1</v>
      </c>
      <c r="M572">
        <v>12</v>
      </c>
      <c r="N572" s="17">
        <v>16000000</v>
      </c>
      <c r="O572" s="24">
        <f t="shared" si="70"/>
        <v>56000000</v>
      </c>
      <c r="P572" t="s">
        <v>497</v>
      </c>
      <c r="Q572">
        <f t="shared" ca="1" si="71"/>
        <v>120000</v>
      </c>
      <c r="R572" t="s">
        <v>506</v>
      </c>
      <c r="S572">
        <v>1.74</v>
      </c>
      <c r="T572" s="20">
        <f t="shared" ca="1" si="72"/>
        <v>46296</v>
      </c>
      <c r="U572">
        <f t="shared" ca="1" si="77"/>
        <v>822</v>
      </c>
      <c r="V572" t="str">
        <f t="shared" ca="1" si="73"/>
        <v>Com Contrato em vigor</v>
      </c>
      <c r="W572" s="34">
        <f t="shared" si="75"/>
        <v>3900000</v>
      </c>
      <c r="X572" s="34">
        <f t="shared" si="76"/>
        <v>8450000</v>
      </c>
    </row>
    <row r="573" spans="1:24">
      <c r="A573" t="s">
        <v>704</v>
      </c>
      <c r="B573" t="s">
        <v>666</v>
      </c>
      <c r="C573" t="s">
        <v>666</v>
      </c>
      <c r="D573" s="6" t="s">
        <v>305</v>
      </c>
      <c r="E573">
        <f t="shared" ca="1" si="69"/>
        <v>24</v>
      </c>
      <c r="F573" s="20">
        <v>37433</v>
      </c>
      <c r="G573" s="20">
        <v>45513</v>
      </c>
      <c r="H573" s="20">
        <v>46752</v>
      </c>
      <c r="I573" s="17">
        <v>550000</v>
      </c>
      <c r="J573" t="s">
        <v>401</v>
      </c>
      <c r="K573" s="6" t="s">
        <v>500</v>
      </c>
      <c r="L573">
        <v>2</v>
      </c>
      <c r="M573">
        <v>30</v>
      </c>
      <c r="N573" s="17">
        <v>12000000</v>
      </c>
      <c r="O573" s="24">
        <f t="shared" si="70"/>
        <v>42000000</v>
      </c>
      <c r="P573" t="s">
        <v>493</v>
      </c>
      <c r="Q573">
        <f t="shared" ca="1" si="71"/>
        <v>160000</v>
      </c>
      <c r="R573" t="s">
        <v>506</v>
      </c>
      <c r="S573">
        <v>1.86</v>
      </c>
      <c r="T573" s="20">
        <f t="shared" ca="1" si="72"/>
        <v>46296</v>
      </c>
      <c r="U573">
        <f t="shared" ca="1" si="77"/>
        <v>456</v>
      </c>
      <c r="V573" t="str">
        <f t="shared" ca="1" si="73"/>
        <v>Com Contrato em vigor</v>
      </c>
      <c r="W573" s="34">
        <f t="shared" si="75"/>
        <v>3300000</v>
      </c>
      <c r="X573" s="34">
        <f t="shared" si="76"/>
        <v>7150000</v>
      </c>
    </row>
    <row r="574" spans="1:24">
      <c r="A574" t="s">
        <v>705</v>
      </c>
      <c r="B574" t="s">
        <v>666</v>
      </c>
      <c r="C574" t="s">
        <v>666</v>
      </c>
      <c r="D574" s="6" t="s">
        <v>312</v>
      </c>
      <c r="E574">
        <f t="shared" ca="1" si="69"/>
        <v>34</v>
      </c>
      <c r="F574" s="20">
        <v>33789</v>
      </c>
      <c r="G574" s="20">
        <v>44927</v>
      </c>
      <c r="H574" s="20">
        <v>46022</v>
      </c>
      <c r="I574" s="17">
        <v>600000</v>
      </c>
      <c r="J574" t="s">
        <v>364</v>
      </c>
      <c r="K574" s="6" t="s">
        <v>500</v>
      </c>
      <c r="L574">
        <v>0</v>
      </c>
      <c r="M574">
        <v>0</v>
      </c>
      <c r="N574" s="17">
        <v>4000000</v>
      </c>
      <c r="O574" s="24">
        <f t="shared" si="70"/>
        <v>14000000</v>
      </c>
      <c r="P574" t="s">
        <v>493</v>
      </c>
      <c r="Q574">
        <f t="shared" ca="1" si="71"/>
        <v>100000</v>
      </c>
      <c r="R574" t="s">
        <v>506</v>
      </c>
      <c r="S574">
        <v>1.76</v>
      </c>
      <c r="T574" s="20">
        <f t="shared" ca="1" si="72"/>
        <v>46296</v>
      </c>
      <c r="U574">
        <f t="shared" ca="1" si="77"/>
        <v>-274</v>
      </c>
      <c r="V574" t="str">
        <f t="shared" ca="1" si="73"/>
        <v>Pre contrato</v>
      </c>
      <c r="W574" s="34">
        <f t="shared" si="75"/>
        <v>3600000</v>
      </c>
      <c r="X574" s="34">
        <f t="shared" si="76"/>
        <v>7800000</v>
      </c>
    </row>
    <row r="575" spans="1:24">
      <c r="A575" t="s">
        <v>706</v>
      </c>
      <c r="B575" t="s">
        <v>666</v>
      </c>
      <c r="C575" t="s">
        <v>666</v>
      </c>
      <c r="D575" s="6" t="s">
        <v>305</v>
      </c>
      <c r="E575">
        <f t="shared" ca="1" si="69"/>
        <v>36</v>
      </c>
      <c r="F575" s="20">
        <v>33040</v>
      </c>
      <c r="G575" s="20">
        <v>45338</v>
      </c>
      <c r="H575" s="20">
        <v>45667</v>
      </c>
      <c r="I575" s="17">
        <v>350000</v>
      </c>
      <c r="J575" t="s">
        <v>443</v>
      </c>
      <c r="K575" s="6" t="s">
        <v>500</v>
      </c>
      <c r="L575">
        <v>0</v>
      </c>
      <c r="M575">
        <v>0</v>
      </c>
      <c r="N575" s="17">
        <v>350000</v>
      </c>
      <c r="O575" s="24">
        <f t="shared" si="70"/>
        <v>1225000</v>
      </c>
      <c r="P575" t="s">
        <v>493</v>
      </c>
      <c r="Q575">
        <f t="shared" ca="1" si="71"/>
        <v>100000</v>
      </c>
      <c r="R575" t="s">
        <v>506</v>
      </c>
      <c r="S575">
        <v>1.79</v>
      </c>
      <c r="T575" s="20">
        <f t="shared" ca="1" si="72"/>
        <v>46296</v>
      </c>
      <c r="U575">
        <f t="shared" ca="1" si="77"/>
        <v>-629</v>
      </c>
      <c r="V575" t="str">
        <f t="shared" ca="1" si="73"/>
        <v>Pre contrato</v>
      </c>
      <c r="W575" s="34">
        <f t="shared" si="75"/>
        <v>2100000</v>
      </c>
      <c r="X575" s="34">
        <f t="shared" si="76"/>
        <v>4550000</v>
      </c>
    </row>
    <row r="576" spans="1:24">
      <c r="A576" t="s">
        <v>707</v>
      </c>
      <c r="B576" t="s">
        <v>666</v>
      </c>
      <c r="C576" t="s">
        <v>666</v>
      </c>
      <c r="D576" s="6" t="s">
        <v>708</v>
      </c>
      <c r="E576">
        <f t="shared" ca="1" si="69"/>
        <v>32</v>
      </c>
      <c r="F576" s="20">
        <v>34378</v>
      </c>
      <c r="G576" s="20">
        <v>45544</v>
      </c>
      <c r="H576" s="20">
        <v>46387</v>
      </c>
      <c r="I576" s="17">
        <v>3500000</v>
      </c>
      <c r="J576" t="s">
        <v>709</v>
      </c>
      <c r="K576" s="6" t="s">
        <v>500</v>
      </c>
      <c r="L576">
        <v>0</v>
      </c>
      <c r="M576">
        <v>0</v>
      </c>
      <c r="N576" s="17">
        <v>3000000</v>
      </c>
      <c r="O576" s="24">
        <f t="shared" si="70"/>
        <v>10500000</v>
      </c>
      <c r="P576" t="s">
        <v>493</v>
      </c>
      <c r="Q576">
        <f t="shared" ca="1" si="71"/>
        <v>100000</v>
      </c>
      <c r="R576" t="s">
        <v>506</v>
      </c>
      <c r="S576">
        <v>1.78</v>
      </c>
      <c r="T576" s="20">
        <f t="shared" ca="1" si="72"/>
        <v>46296</v>
      </c>
      <c r="U576">
        <f t="shared" ca="1" si="77"/>
        <v>91</v>
      </c>
      <c r="V576" t="str">
        <f t="shared" ca="1" si="73"/>
        <v>Pre contrato</v>
      </c>
      <c r="W576" s="34">
        <f t="shared" si="75"/>
        <v>21000000</v>
      </c>
      <c r="X576" s="34">
        <f t="shared" si="76"/>
        <v>45500000</v>
      </c>
    </row>
    <row r="577" spans="1:24">
      <c r="A577" t="s">
        <v>710</v>
      </c>
      <c r="B577" t="s">
        <v>666</v>
      </c>
      <c r="C577" t="s">
        <v>666</v>
      </c>
      <c r="D577" s="6" t="s">
        <v>305</v>
      </c>
      <c r="E577">
        <f t="shared" ca="1" si="69"/>
        <v>29</v>
      </c>
      <c r="F577" s="20">
        <v>35374</v>
      </c>
      <c r="G577" s="20">
        <v>45324</v>
      </c>
      <c r="H577" s="20">
        <v>47118</v>
      </c>
      <c r="I577" s="17">
        <v>500000</v>
      </c>
      <c r="J577" t="s">
        <v>352</v>
      </c>
      <c r="K577" s="6" t="s">
        <v>500</v>
      </c>
      <c r="L577">
        <v>0</v>
      </c>
      <c r="M577">
        <v>0</v>
      </c>
      <c r="N577" s="17">
        <v>5000000</v>
      </c>
      <c r="O577" s="24">
        <f t="shared" si="70"/>
        <v>17500000</v>
      </c>
      <c r="P577" t="s">
        <v>493</v>
      </c>
      <c r="Q577">
        <f t="shared" ca="1" si="71"/>
        <v>120000</v>
      </c>
      <c r="R577" t="s">
        <v>506</v>
      </c>
      <c r="S577">
        <v>1.93</v>
      </c>
      <c r="T577" s="20">
        <f t="shared" ca="1" si="72"/>
        <v>46296</v>
      </c>
      <c r="U577">
        <f t="shared" ca="1" si="77"/>
        <v>822</v>
      </c>
      <c r="V577" t="str">
        <f t="shared" ca="1" si="73"/>
        <v>Com Contrato em vigor</v>
      </c>
      <c r="W577" s="34">
        <f t="shared" si="75"/>
        <v>3000000</v>
      </c>
      <c r="X577" s="34">
        <f t="shared" si="76"/>
        <v>6500000</v>
      </c>
    </row>
    <row r="578" spans="1:24">
      <c r="A578" t="s">
        <v>711</v>
      </c>
      <c r="B578" t="s">
        <v>666</v>
      </c>
      <c r="C578" t="s">
        <v>666</v>
      </c>
      <c r="D578" s="6" t="s">
        <v>712</v>
      </c>
      <c r="E578">
        <f t="shared" ref="E578:E641" ca="1" si="78">DATEDIF(F578,TODAY(),"Y")</f>
        <v>31</v>
      </c>
      <c r="F578" s="20">
        <v>34956</v>
      </c>
      <c r="G578" s="20">
        <v>45531</v>
      </c>
      <c r="H578" s="20">
        <v>46387</v>
      </c>
      <c r="I578" s="17">
        <v>350000</v>
      </c>
      <c r="J578" t="s">
        <v>713</v>
      </c>
      <c r="K578" s="6" t="s">
        <v>500</v>
      </c>
      <c r="L578">
        <v>1</v>
      </c>
      <c r="M578">
        <v>32</v>
      </c>
      <c r="N578" s="17">
        <v>3000000</v>
      </c>
      <c r="O578" s="24">
        <f t="shared" ref="O578:O641" si="79">N578*3.5</f>
        <v>10500000</v>
      </c>
      <c r="P578" t="s">
        <v>493</v>
      </c>
      <c r="Q578">
        <f t="shared" ref="Q578:Q650" ca="1" si="80">IF(E578&gt;30,100000,IF(E578&gt;24,120000,IF(E578&gt;16,160000)))</f>
        <v>100000</v>
      </c>
      <c r="R578" t="s">
        <v>506</v>
      </c>
      <c r="S578">
        <v>1.8</v>
      </c>
      <c r="T578" s="20">
        <f t="shared" ref="T578:T646" ca="1" si="81">TODAY()</f>
        <v>46296</v>
      </c>
      <c r="U578">
        <f t="shared" ca="1" si="77"/>
        <v>91</v>
      </c>
      <c r="V578" t="str">
        <f t="shared" ref="V578:V641" ca="1" si="82">IF(U578&lt;180, "Pre contrato","Com Contrato em vigor")</f>
        <v>Pre contrato</v>
      </c>
      <c r="W578" s="34">
        <f t="shared" si="75"/>
        <v>2100000</v>
      </c>
      <c r="X578" s="34">
        <f t="shared" si="76"/>
        <v>4550000</v>
      </c>
    </row>
    <row r="579" spans="1:24">
      <c r="A579" t="s">
        <v>714</v>
      </c>
      <c r="B579" t="s">
        <v>666</v>
      </c>
      <c r="C579" t="s">
        <v>666</v>
      </c>
      <c r="D579" s="6" t="s">
        <v>305</v>
      </c>
      <c r="E579">
        <f t="shared" ca="1" si="78"/>
        <v>25</v>
      </c>
      <c r="F579" s="20">
        <v>36968</v>
      </c>
      <c r="G579" s="20">
        <v>44935</v>
      </c>
      <c r="H579" s="20">
        <v>46752</v>
      </c>
      <c r="I579" s="17">
        <v>700000</v>
      </c>
      <c r="J579" t="s">
        <v>357</v>
      </c>
      <c r="K579" s="6" t="s">
        <v>500</v>
      </c>
      <c r="L579">
        <v>0</v>
      </c>
      <c r="M579">
        <v>0</v>
      </c>
      <c r="N579" s="17">
        <v>17000000</v>
      </c>
      <c r="O579" s="24">
        <f t="shared" si="79"/>
        <v>59500000</v>
      </c>
      <c r="P579" t="s">
        <v>493</v>
      </c>
      <c r="Q579">
        <f t="shared" ca="1" si="80"/>
        <v>120000</v>
      </c>
      <c r="R579" t="s">
        <v>506</v>
      </c>
      <c r="S579">
        <v>1.85</v>
      </c>
      <c r="T579" s="20">
        <f t="shared" ca="1" si="81"/>
        <v>46296</v>
      </c>
      <c r="U579">
        <f t="shared" ref="U579:U610" ca="1" si="83">_xlfn.DAYS(H579,T579)</f>
        <v>456</v>
      </c>
      <c r="V579" t="str">
        <f t="shared" ca="1" si="82"/>
        <v>Com Contrato em vigor</v>
      </c>
      <c r="W579" s="34">
        <f t="shared" ref="W579:W642" si="84">I579*6</f>
        <v>4200000</v>
      </c>
      <c r="X579" s="34">
        <f t="shared" ref="X579:X642" si="85">I579*13</f>
        <v>9100000</v>
      </c>
    </row>
    <row r="580" spans="1:24">
      <c r="A580" t="s">
        <v>752</v>
      </c>
      <c r="B580" t="s">
        <v>315</v>
      </c>
      <c r="C580" t="s">
        <v>315</v>
      </c>
      <c r="D580" s="6" t="s">
        <v>319</v>
      </c>
      <c r="E580">
        <f t="shared" ca="1" si="78"/>
        <v>33</v>
      </c>
      <c r="F580" s="20">
        <v>34051</v>
      </c>
      <c r="G580" s="20">
        <v>45120</v>
      </c>
      <c r="H580" s="20">
        <v>46387</v>
      </c>
      <c r="I580" s="17">
        <v>350000</v>
      </c>
      <c r="J580" t="s">
        <v>753</v>
      </c>
      <c r="K580" s="6" t="s">
        <v>495</v>
      </c>
      <c r="L580">
        <v>0</v>
      </c>
      <c r="M580">
        <v>0</v>
      </c>
      <c r="N580" s="17">
        <v>8000000</v>
      </c>
      <c r="O580" s="24">
        <f t="shared" si="79"/>
        <v>28000000</v>
      </c>
      <c r="P580" t="s">
        <v>493</v>
      </c>
      <c r="Q580">
        <f t="shared" ca="1" si="80"/>
        <v>100000</v>
      </c>
      <c r="R580" t="s">
        <v>506</v>
      </c>
      <c r="S580">
        <v>1.9</v>
      </c>
      <c r="T580" s="20">
        <f t="shared" ca="1" si="81"/>
        <v>46296</v>
      </c>
      <c r="U580">
        <f t="shared" ca="1" si="83"/>
        <v>91</v>
      </c>
      <c r="V580" t="str">
        <f t="shared" ca="1" si="82"/>
        <v>Pre contrato</v>
      </c>
      <c r="W580" s="34">
        <f t="shared" si="84"/>
        <v>2100000</v>
      </c>
      <c r="X580" s="34">
        <f t="shared" si="85"/>
        <v>4550000</v>
      </c>
    </row>
    <row r="581" spans="1:24">
      <c r="A581" t="s">
        <v>754</v>
      </c>
      <c r="B581" t="s">
        <v>315</v>
      </c>
      <c r="C581" t="s">
        <v>315</v>
      </c>
      <c r="D581" s="6" t="s">
        <v>305</v>
      </c>
      <c r="E581">
        <f t="shared" ca="1" si="78"/>
        <v>29</v>
      </c>
      <c r="F581" s="20">
        <v>35613</v>
      </c>
      <c r="G581" s="20">
        <v>45298</v>
      </c>
      <c r="H581" s="20">
        <v>46387</v>
      </c>
      <c r="I581" s="17">
        <v>200000</v>
      </c>
      <c r="J581" t="s">
        <v>364</v>
      </c>
      <c r="K581" s="6" t="s">
        <v>495</v>
      </c>
      <c r="L581">
        <v>0</v>
      </c>
      <c r="M581">
        <v>0</v>
      </c>
      <c r="N581" s="17">
        <v>6000000</v>
      </c>
      <c r="O581" s="24">
        <f t="shared" si="79"/>
        <v>21000000</v>
      </c>
      <c r="P581" t="s">
        <v>493</v>
      </c>
      <c r="Q581">
        <f t="shared" ca="1" si="80"/>
        <v>120000</v>
      </c>
      <c r="R581" t="s">
        <v>506</v>
      </c>
      <c r="S581">
        <v>1.96</v>
      </c>
      <c r="T581" s="20">
        <f t="shared" ca="1" si="81"/>
        <v>46296</v>
      </c>
      <c r="U581">
        <f t="shared" ca="1" si="83"/>
        <v>91</v>
      </c>
      <c r="V581" t="str">
        <f t="shared" ca="1" si="82"/>
        <v>Pre contrato</v>
      </c>
      <c r="W581" s="34">
        <f t="shared" si="84"/>
        <v>1200000</v>
      </c>
      <c r="X581" s="34">
        <f t="shared" si="85"/>
        <v>2600000</v>
      </c>
    </row>
    <row r="582" spans="1:24">
      <c r="A582" t="s">
        <v>577</v>
      </c>
      <c r="B582" t="s">
        <v>315</v>
      </c>
      <c r="C582" t="s">
        <v>315</v>
      </c>
      <c r="D582" s="6" t="s">
        <v>305</v>
      </c>
      <c r="E582">
        <f t="shared" ca="1" si="78"/>
        <v>29</v>
      </c>
      <c r="F582" s="20">
        <v>35367</v>
      </c>
      <c r="G582" s="20">
        <v>45327</v>
      </c>
      <c r="H582" s="20">
        <v>46022</v>
      </c>
      <c r="I582" s="17">
        <v>120000</v>
      </c>
      <c r="J582" t="s">
        <v>390</v>
      </c>
      <c r="K582" s="6" t="s">
        <v>495</v>
      </c>
      <c r="L582">
        <v>0</v>
      </c>
      <c r="M582">
        <v>0</v>
      </c>
      <c r="N582" s="17">
        <v>3000000</v>
      </c>
      <c r="O582" s="24">
        <f t="shared" si="79"/>
        <v>10500000</v>
      </c>
      <c r="P582" t="s">
        <v>493</v>
      </c>
      <c r="Q582">
        <f t="shared" ca="1" si="80"/>
        <v>120000</v>
      </c>
      <c r="R582" t="s">
        <v>506</v>
      </c>
      <c r="S582">
        <v>1.94</v>
      </c>
      <c r="T582" s="20">
        <f t="shared" ca="1" si="81"/>
        <v>46296</v>
      </c>
      <c r="U582">
        <f t="shared" ca="1" si="83"/>
        <v>-274</v>
      </c>
      <c r="V582" t="str">
        <f t="shared" ca="1" si="82"/>
        <v>Pre contrato</v>
      </c>
      <c r="W582" s="34">
        <f t="shared" si="84"/>
        <v>720000</v>
      </c>
      <c r="X582" s="34">
        <f t="shared" si="85"/>
        <v>1560000</v>
      </c>
    </row>
    <row r="583" spans="1:24">
      <c r="A583" t="s">
        <v>755</v>
      </c>
      <c r="B583" t="s">
        <v>315</v>
      </c>
      <c r="C583" t="s">
        <v>315</v>
      </c>
      <c r="D583" s="6" t="s">
        <v>305</v>
      </c>
      <c r="E583">
        <f t="shared" ca="1" si="78"/>
        <v>40</v>
      </c>
      <c r="F583" s="20">
        <v>31419</v>
      </c>
      <c r="G583" s="20">
        <v>45390</v>
      </c>
      <c r="H583" s="20">
        <v>45658</v>
      </c>
      <c r="I583" s="17">
        <v>75000</v>
      </c>
      <c r="J583" t="s">
        <v>756</v>
      </c>
      <c r="K583" s="6" t="s">
        <v>495</v>
      </c>
      <c r="L583">
        <v>0</v>
      </c>
      <c r="M583">
        <v>0</v>
      </c>
      <c r="N583" s="17">
        <v>500000</v>
      </c>
      <c r="O583" s="24">
        <f t="shared" si="79"/>
        <v>1750000</v>
      </c>
      <c r="P583" t="s">
        <v>493</v>
      </c>
      <c r="Q583">
        <f t="shared" ca="1" si="80"/>
        <v>100000</v>
      </c>
      <c r="R583" t="s">
        <v>506</v>
      </c>
      <c r="S583">
        <v>1.93</v>
      </c>
      <c r="T583" s="20">
        <f t="shared" ca="1" si="81"/>
        <v>46296</v>
      </c>
      <c r="U583">
        <f t="shared" ca="1" si="83"/>
        <v>-638</v>
      </c>
      <c r="V583" t="str">
        <f t="shared" ca="1" si="82"/>
        <v>Pre contrato</v>
      </c>
      <c r="W583" s="34">
        <f t="shared" si="84"/>
        <v>450000</v>
      </c>
      <c r="X583" s="34">
        <f t="shared" si="85"/>
        <v>975000</v>
      </c>
    </row>
    <row r="584" spans="1:24">
      <c r="A584" t="s">
        <v>757</v>
      </c>
      <c r="B584" t="s">
        <v>315</v>
      </c>
      <c r="C584" t="s">
        <v>315</v>
      </c>
      <c r="D584" s="6" t="s">
        <v>305</v>
      </c>
      <c r="E584">
        <f t="shared" ca="1" si="78"/>
        <v>24</v>
      </c>
      <c r="F584" s="20">
        <v>37279</v>
      </c>
      <c r="G584" s="20">
        <v>44927</v>
      </c>
      <c r="H584" s="20">
        <v>46387</v>
      </c>
      <c r="I584" s="17">
        <v>70000</v>
      </c>
      <c r="J584" t="s">
        <v>758</v>
      </c>
      <c r="K584" s="6" t="s">
        <v>495</v>
      </c>
      <c r="L584">
        <v>0</v>
      </c>
      <c r="M584">
        <v>0</v>
      </c>
      <c r="N584" s="17">
        <v>350000</v>
      </c>
      <c r="O584" s="24">
        <f t="shared" si="79"/>
        <v>1225000</v>
      </c>
      <c r="P584" t="s">
        <v>493</v>
      </c>
      <c r="Q584">
        <f t="shared" ca="1" si="80"/>
        <v>160000</v>
      </c>
      <c r="R584" t="s">
        <v>506</v>
      </c>
      <c r="S584">
        <v>1.92</v>
      </c>
      <c r="T584" s="20">
        <f t="shared" ca="1" si="81"/>
        <v>46296</v>
      </c>
      <c r="U584">
        <f t="shared" ca="1" si="83"/>
        <v>91</v>
      </c>
      <c r="V584" t="str">
        <f t="shared" ca="1" si="82"/>
        <v>Pre contrato</v>
      </c>
      <c r="W584" s="34">
        <f t="shared" si="84"/>
        <v>420000</v>
      </c>
      <c r="X584" s="34">
        <f t="shared" si="85"/>
        <v>910000</v>
      </c>
    </row>
    <row r="585" spans="1:24">
      <c r="A585" t="s">
        <v>759</v>
      </c>
      <c r="B585" t="s">
        <v>315</v>
      </c>
      <c r="C585" t="s">
        <v>315</v>
      </c>
      <c r="D585" s="6" t="s">
        <v>305</v>
      </c>
      <c r="E585">
        <f t="shared" ca="1" si="78"/>
        <v>26</v>
      </c>
      <c r="F585" s="20">
        <v>36558</v>
      </c>
      <c r="G585" s="20">
        <v>45474</v>
      </c>
      <c r="H585" s="20">
        <v>46387</v>
      </c>
      <c r="I585" s="17">
        <v>600000</v>
      </c>
      <c r="J585" t="s">
        <v>348</v>
      </c>
      <c r="K585" s="6" t="s">
        <v>492</v>
      </c>
      <c r="L585">
        <v>1</v>
      </c>
      <c r="M585">
        <v>16</v>
      </c>
      <c r="N585" s="17">
        <v>21000000</v>
      </c>
      <c r="O585" s="24">
        <f t="shared" si="79"/>
        <v>73500000</v>
      </c>
      <c r="P585" t="s">
        <v>493</v>
      </c>
      <c r="Q585">
        <f t="shared" ca="1" si="80"/>
        <v>120000</v>
      </c>
      <c r="R585" t="s">
        <v>503</v>
      </c>
      <c r="S585">
        <v>1.85</v>
      </c>
      <c r="T585" s="20">
        <f t="shared" ca="1" si="81"/>
        <v>46296</v>
      </c>
      <c r="U585">
        <f t="shared" ca="1" si="83"/>
        <v>91</v>
      </c>
      <c r="V585" t="str">
        <f t="shared" ca="1" si="82"/>
        <v>Pre contrato</v>
      </c>
      <c r="W585" s="34">
        <f t="shared" si="84"/>
        <v>3600000</v>
      </c>
      <c r="X585" s="34">
        <f t="shared" si="85"/>
        <v>7800000</v>
      </c>
    </row>
    <row r="586" spans="1:24">
      <c r="A586" t="s">
        <v>760</v>
      </c>
      <c r="B586" t="s">
        <v>315</v>
      </c>
      <c r="C586" t="s">
        <v>315</v>
      </c>
      <c r="D586" s="6" t="s">
        <v>319</v>
      </c>
      <c r="E586">
        <f t="shared" ca="1" si="78"/>
        <v>28</v>
      </c>
      <c r="F586" s="20">
        <v>35720</v>
      </c>
      <c r="G586" s="20">
        <v>45511</v>
      </c>
      <c r="H586" s="20">
        <v>45838</v>
      </c>
      <c r="I586" s="17">
        <v>350000</v>
      </c>
      <c r="J586" t="s">
        <v>761</v>
      </c>
      <c r="K586" s="6" t="s">
        <v>492</v>
      </c>
      <c r="L586">
        <v>1</v>
      </c>
      <c r="M586">
        <v>20</v>
      </c>
      <c r="N586" s="17">
        <v>3000000</v>
      </c>
      <c r="O586" s="24">
        <f t="shared" si="79"/>
        <v>10500000</v>
      </c>
      <c r="P586" t="s">
        <v>493</v>
      </c>
      <c r="Q586">
        <f t="shared" ca="1" si="80"/>
        <v>120000</v>
      </c>
      <c r="R586" t="s">
        <v>503</v>
      </c>
      <c r="S586">
        <v>1.91</v>
      </c>
      <c r="T586" s="20">
        <f t="shared" ca="1" si="81"/>
        <v>46296</v>
      </c>
      <c r="U586">
        <f t="shared" ca="1" si="83"/>
        <v>-458</v>
      </c>
      <c r="V586" t="str">
        <f t="shared" ca="1" si="82"/>
        <v>Pre contrato</v>
      </c>
      <c r="W586" s="34">
        <f t="shared" si="84"/>
        <v>2100000</v>
      </c>
      <c r="X586" s="34">
        <f t="shared" si="85"/>
        <v>4550000</v>
      </c>
    </row>
    <row r="587" spans="1:24">
      <c r="A587" t="s">
        <v>762</v>
      </c>
      <c r="B587" t="s">
        <v>315</v>
      </c>
      <c r="C587" t="s">
        <v>315</v>
      </c>
      <c r="D587" s="6" t="s">
        <v>305</v>
      </c>
      <c r="E587">
        <f t="shared" ca="1" si="78"/>
        <v>22</v>
      </c>
      <c r="F587" s="20">
        <v>37905</v>
      </c>
      <c r="G587" s="20">
        <v>45537</v>
      </c>
      <c r="H587" s="20">
        <v>45838</v>
      </c>
      <c r="I587" s="17">
        <v>500000</v>
      </c>
      <c r="J587" t="s">
        <v>364</v>
      </c>
      <c r="K587" s="6" t="s">
        <v>492</v>
      </c>
      <c r="L587">
        <v>0</v>
      </c>
      <c r="M587">
        <v>0</v>
      </c>
      <c r="N587" s="17">
        <v>23000000</v>
      </c>
      <c r="O587" s="24">
        <f t="shared" si="79"/>
        <v>80500000</v>
      </c>
      <c r="P587" t="s">
        <v>493</v>
      </c>
      <c r="Q587">
        <f t="shared" ca="1" si="80"/>
        <v>160000</v>
      </c>
      <c r="R587" t="s">
        <v>506</v>
      </c>
      <c r="S587">
        <v>1.86</v>
      </c>
      <c r="T587" s="20">
        <f t="shared" ca="1" si="81"/>
        <v>46296</v>
      </c>
      <c r="U587">
        <f t="shared" ca="1" si="83"/>
        <v>-458</v>
      </c>
      <c r="V587" t="str">
        <f t="shared" ca="1" si="82"/>
        <v>Pre contrato</v>
      </c>
      <c r="W587" s="34">
        <f t="shared" si="84"/>
        <v>3000000</v>
      </c>
      <c r="X587" s="34">
        <f t="shared" si="85"/>
        <v>6500000</v>
      </c>
    </row>
    <row r="588" spans="1:24">
      <c r="A588" t="s">
        <v>763</v>
      </c>
      <c r="B588" t="s">
        <v>315</v>
      </c>
      <c r="C588" t="s">
        <v>315</v>
      </c>
      <c r="D588" s="6" t="s">
        <v>305</v>
      </c>
      <c r="E588">
        <f t="shared" ca="1" si="78"/>
        <v>26</v>
      </c>
      <c r="F588" s="20">
        <v>36620</v>
      </c>
      <c r="G588" s="20">
        <v>45534</v>
      </c>
      <c r="H588" s="20">
        <v>47118</v>
      </c>
      <c r="I588" s="17">
        <v>150000</v>
      </c>
      <c r="J588" t="s">
        <v>723</v>
      </c>
      <c r="K588" s="6" t="s">
        <v>492</v>
      </c>
      <c r="L588">
        <v>0</v>
      </c>
      <c r="M588">
        <v>0</v>
      </c>
      <c r="N588" s="17">
        <v>3000000</v>
      </c>
      <c r="O588" s="24">
        <f t="shared" si="79"/>
        <v>10500000</v>
      </c>
      <c r="P588" t="s">
        <v>493</v>
      </c>
      <c r="Q588">
        <f t="shared" ca="1" si="80"/>
        <v>120000</v>
      </c>
      <c r="R588" t="s">
        <v>506</v>
      </c>
      <c r="S588">
        <v>1.87</v>
      </c>
      <c r="T588" s="20">
        <f t="shared" ca="1" si="81"/>
        <v>46296</v>
      </c>
      <c r="U588">
        <f t="shared" ca="1" si="83"/>
        <v>822</v>
      </c>
      <c r="V588" t="str">
        <f t="shared" ca="1" si="82"/>
        <v>Com Contrato em vigor</v>
      </c>
      <c r="W588" s="34">
        <f t="shared" si="84"/>
        <v>900000</v>
      </c>
      <c r="X588" s="34">
        <f t="shared" si="85"/>
        <v>1950000</v>
      </c>
    </row>
    <row r="589" spans="1:24">
      <c r="A589" t="s">
        <v>764</v>
      </c>
      <c r="B589" t="s">
        <v>315</v>
      </c>
      <c r="C589" t="s">
        <v>315</v>
      </c>
      <c r="D589" s="6" t="s">
        <v>305</v>
      </c>
      <c r="E589">
        <f t="shared" ca="1" si="78"/>
        <v>39</v>
      </c>
      <c r="F589" s="20">
        <v>31854</v>
      </c>
      <c r="G589" s="20">
        <v>44382</v>
      </c>
      <c r="H589" s="20">
        <v>46022</v>
      </c>
      <c r="I589" s="17">
        <v>700000</v>
      </c>
      <c r="J589" t="s">
        <v>765</v>
      </c>
      <c r="K589" s="6" t="s">
        <v>492</v>
      </c>
      <c r="L589">
        <v>2</v>
      </c>
      <c r="M589">
        <v>35</v>
      </c>
      <c r="N589" s="17">
        <v>600000</v>
      </c>
      <c r="O589" s="24">
        <f t="shared" si="79"/>
        <v>2100000</v>
      </c>
      <c r="P589" t="s">
        <v>493</v>
      </c>
      <c r="Q589">
        <f t="shared" ca="1" si="80"/>
        <v>100000</v>
      </c>
      <c r="R589" t="s">
        <v>506</v>
      </c>
      <c r="S589">
        <v>1.8</v>
      </c>
      <c r="T589" s="20">
        <f t="shared" ca="1" si="81"/>
        <v>46296</v>
      </c>
      <c r="U589">
        <f t="shared" ca="1" si="83"/>
        <v>-274</v>
      </c>
      <c r="V589" t="str">
        <f t="shared" ca="1" si="82"/>
        <v>Pre contrato</v>
      </c>
      <c r="W589" s="34">
        <f t="shared" si="84"/>
        <v>4200000</v>
      </c>
      <c r="X589" s="34">
        <f t="shared" si="85"/>
        <v>9100000</v>
      </c>
    </row>
    <row r="590" spans="1:24">
      <c r="A590" t="s">
        <v>766</v>
      </c>
      <c r="B590" t="s">
        <v>315</v>
      </c>
      <c r="C590" t="s">
        <v>315</v>
      </c>
      <c r="D590" s="6" t="s">
        <v>305</v>
      </c>
      <c r="E590">
        <f t="shared" ca="1" si="78"/>
        <v>25</v>
      </c>
      <c r="F590" s="20">
        <v>36956</v>
      </c>
      <c r="G590" s="20">
        <v>45565</v>
      </c>
      <c r="H590" s="20">
        <v>46387</v>
      </c>
      <c r="I590" s="17">
        <v>350000</v>
      </c>
      <c r="J590" t="s">
        <v>400</v>
      </c>
      <c r="K590" s="6" t="s">
        <v>492</v>
      </c>
      <c r="L590">
        <v>0</v>
      </c>
      <c r="M590">
        <v>0</v>
      </c>
      <c r="N590" s="17">
        <v>3500000</v>
      </c>
      <c r="O590" s="24">
        <f t="shared" si="79"/>
        <v>12250000</v>
      </c>
      <c r="P590" t="s">
        <v>493</v>
      </c>
      <c r="Q590">
        <f t="shared" ca="1" si="80"/>
        <v>120000</v>
      </c>
      <c r="R590" t="s">
        <v>506</v>
      </c>
      <c r="S590">
        <v>1.85</v>
      </c>
      <c r="T590" s="20">
        <f t="shared" ca="1" si="81"/>
        <v>46296</v>
      </c>
      <c r="U590">
        <f t="shared" ca="1" si="83"/>
        <v>91</v>
      </c>
      <c r="V590" t="str">
        <f t="shared" ca="1" si="82"/>
        <v>Pre contrato</v>
      </c>
      <c r="W590" s="34">
        <f t="shared" si="84"/>
        <v>2100000</v>
      </c>
      <c r="X590" s="34">
        <f t="shared" si="85"/>
        <v>4550000</v>
      </c>
    </row>
    <row r="591" spans="1:24">
      <c r="A591" t="s">
        <v>767</v>
      </c>
      <c r="B591" t="s">
        <v>315</v>
      </c>
      <c r="C591" t="s">
        <v>315</v>
      </c>
      <c r="D591" s="6" t="s">
        <v>342</v>
      </c>
      <c r="E591">
        <f t="shared" ca="1" si="78"/>
        <v>26</v>
      </c>
      <c r="F591" s="20">
        <v>36793</v>
      </c>
      <c r="G591" s="20">
        <v>45358</v>
      </c>
      <c r="H591" s="20">
        <v>46022</v>
      </c>
      <c r="I591" s="17">
        <v>600000</v>
      </c>
      <c r="J591" t="s">
        <v>447</v>
      </c>
      <c r="K591" s="6" t="s">
        <v>496</v>
      </c>
      <c r="L591">
        <v>1</v>
      </c>
      <c r="M591">
        <v>21</v>
      </c>
      <c r="N591" s="17">
        <v>15000000</v>
      </c>
      <c r="O591" s="24">
        <f t="shared" si="79"/>
        <v>52500000</v>
      </c>
      <c r="P591" t="s">
        <v>497</v>
      </c>
      <c r="Q591">
        <f t="shared" ca="1" si="80"/>
        <v>120000</v>
      </c>
      <c r="R591" t="s">
        <v>506</v>
      </c>
      <c r="S591">
        <v>1.7</v>
      </c>
      <c r="T591" s="20">
        <f t="shared" ca="1" si="81"/>
        <v>46296</v>
      </c>
      <c r="U591">
        <f t="shared" ca="1" si="83"/>
        <v>-274</v>
      </c>
      <c r="V591" t="str">
        <f t="shared" ca="1" si="82"/>
        <v>Pre contrato</v>
      </c>
      <c r="W591" s="34">
        <f t="shared" si="84"/>
        <v>3600000</v>
      </c>
      <c r="X591" s="34">
        <f t="shared" si="85"/>
        <v>7800000</v>
      </c>
    </row>
    <row r="592" spans="1:24">
      <c r="A592" t="s">
        <v>768</v>
      </c>
      <c r="B592" t="s">
        <v>315</v>
      </c>
      <c r="C592" t="s">
        <v>315</v>
      </c>
      <c r="D592" s="6" t="s">
        <v>305</v>
      </c>
      <c r="E592">
        <f t="shared" ca="1" si="78"/>
        <v>34</v>
      </c>
      <c r="F592" s="20">
        <v>33861</v>
      </c>
      <c r="G592" s="20">
        <v>44662</v>
      </c>
      <c r="H592" s="20">
        <v>46022</v>
      </c>
      <c r="I592" s="17">
        <v>350000</v>
      </c>
      <c r="J592" t="s">
        <v>348</v>
      </c>
      <c r="K592" s="6" t="s">
        <v>496</v>
      </c>
      <c r="L592">
        <v>1</v>
      </c>
      <c r="M592">
        <v>50</v>
      </c>
      <c r="N592" s="17">
        <v>2000000</v>
      </c>
      <c r="O592" s="24">
        <f t="shared" si="79"/>
        <v>7000000</v>
      </c>
      <c r="P592" t="s">
        <v>497</v>
      </c>
      <c r="Q592">
        <f t="shared" ca="1" si="80"/>
        <v>100000</v>
      </c>
      <c r="R592" t="s">
        <v>503</v>
      </c>
      <c r="S592">
        <v>1.74</v>
      </c>
      <c r="T592" s="20">
        <f t="shared" ca="1" si="81"/>
        <v>46296</v>
      </c>
      <c r="U592">
        <f t="shared" ca="1" si="83"/>
        <v>-274</v>
      </c>
      <c r="V592" t="str">
        <f t="shared" ca="1" si="82"/>
        <v>Pre contrato</v>
      </c>
      <c r="W592" s="34">
        <f t="shared" si="84"/>
        <v>2100000</v>
      </c>
      <c r="X592" s="34">
        <f t="shared" si="85"/>
        <v>4550000</v>
      </c>
    </row>
    <row r="593" spans="1:24">
      <c r="A593" t="s">
        <v>769</v>
      </c>
      <c r="B593" t="s">
        <v>315</v>
      </c>
      <c r="C593" t="s">
        <v>315</v>
      </c>
      <c r="D593" s="6" t="s">
        <v>305</v>
      </c>
      <c r="E593">
        <f t="shared" ca="1" si="78"/>
        <v>22</v>
      </c>
      <c r="F593" s="20">
        <v>38008</v>
      </c>
      <c r="G593" s="20">
        <v>45519</v>
      </c>
      <c r="H593" s="20">
        <v>46203</v>
      </c>
      <c r="I593" s="17">
        <v>200000</v>
      </c>
      <c r="J593" t="s">
        <v>595</v>
      </c>
      <c r="K593" s="6" t="s">
        <v>496</v>
      </c>
      <c r="L593">
        <v>0</v>
      </c>
      <c r="M593">
        <v>0</v>
      </c>
      <c r="N593" s="17">
        <v>2100000</v>
      </c>
      <c r="O593" s="24">
        <f t="shared" si="79"/>
        <v>7350000</v>
      </c>
      <c r="P593" t="s">
        <v>497</v>
      </c>
      <c r="Q593">
        <f t="shared" ca="1" si="80"/>
        <v>160000</v>
      </c>
      <c r="R593" t="s">
        <v>503</v>
      </c>
      <c r="S593">
        <v>1.76</v>
      </c>
      <c r="T593" s="20">
        <f t="shared" ca="1" si="81"/>
        <v>46296</v>
      </c>
      <c r="U593">
        <f t="shared" ca="1" si="83"/>
        <v>-93</v>
      </c>
      <c r="V593" t="str">
        <f t="shared" ca="1" si="82"/>
        <v>Pre contrato</v>
      </c>
      <c r="W593" s="34">
        <f t="shared" si="84"/>
        <v>1200000</v>
      </c>
      <c r="X593" s="34">
        <f t="shared" si="85"/>
        <v>2600000</v>
      </c>
    </row>
    <row r="594" spans="1:24">
      <c r="A594" t="s">
        <v>770</v>
      </c>
      <c r="B594" t="s">
        <v>315</v>
      </c>
      <c r="C594" t="s">
        <v>315</v>
      </c>
      <c r="D594" s="6" t="s">
        <v>342</v>
      </c>
      <c r="E594">
        <f t="shared" ca="1" si="78"/>
        <v>30</v>
      </c>
      <c r="F594" s="20">
        <v>35183</v>
      </c>
      <c r="G594" s="20">
        <v>45513</v>
      </c>
      <c r="H594" s="20">
        <v>46752</v>
      </c>
      <c r="I594" s="17">
        <v>600000</v>
      </c>
      <c r="J594" t="s">
        <v>348</v>
      </c>
      <c r="K594" s="6" t="s">
        <v>498</v>
      </c>
      <c r="L594">
        <v>1</v>
      </c>
      <c r="M594">
        <v>21</v>
      </c>
      <c r="N594" s="17">
        <v>15000000</v>
      </c>
      <c r="O594" s="24">
        <f t="shared" si="79"/>
        <v>52500000</v>
      </c>
      <c r="P594" t="s">
        <v>493</v>
      </c>
      <c r="Q594">
        <f t="shared" ca="1" si="80"/>
        <v>120000</v>
      </c>
      <c r="R594" t="s">
        <v>503</v>
      </c>
      <c r="S594">
        <v>1.68</v>
      </c>
      <c r="T594" s="20">
        <f t="shared" ca="1" si="81"/>
        <v>46296</v>
      </c>
      <c r="U594">
        <f t="shared" ca="1" si="83"/>
        <v>456</v>
      </c>
      <c r="V594" t="str">
        <f t="shared" ca="1" si="82"/>
        <v>Com Contrato em vigor</v>
      </c>
      <c r="W594" s="34">
        <f t="shared" si="84"/>
        <v>3600000</v>
      </c>
      <c r="X594" s="34">
        <f t="shared" si="85"/>
        <v>7800000</v>
      </c>
    </row>
    <row r="595" spans="1:24">
      <c r="A595" t="s">
        <v>771</v>
      </c>
      <c r="B595" t="s">
        <v>315</v>
      </c>
      <c r="C595" t="s">
        <v>315</v>
      </c>
      <c r="D595" s="6" t="s">
        <v>712</v>
      </c>
      <c r="E595">
        <f t="shared" ca="1" si="78"/>
        <v>35</v>
      </c>
      <c r="F595" s="20">
        <v>33411</v>
      </c>
      <c r="G595" s="20">
        <v>45504</v>
      </c>
      <c r="H595" s="20">
        <v>46203</v>
      </c>
      <c r="I595" s="17">
        <v>500000</v>
      </c>
      <c r="J595" t="s">
        <v>772</v>
      </c>
      <c r="K595" s="6" t="s">
        <v>498</v>
      </c>
      <c r="L595">
        <v>1</v>
      </c>
      <c r="M595">
        <v>8</v>
      </c>
      <c r="N595" s="17">
        <v>3000000</v>
      </c>
      <c r="O595" s="24">
        <f t="shared" si="79"/>
        <v>10500000</v>
      </c>
      <c r="P595" t="s">
        <v>493</v>
      </c>
      <c r="Q595">
        <f t="shared" ca="1" si="80"/>
        <v>100000</v>
      </c>
      <c r="R595" t="s">
        <v>503</v>
      </c>
      <c r="S595">
        <v>1.73</v>
      </c>
      <c r="T595" s="20">
        <f t="shared" ca="1" si="81"/>
        <v>46296</v>
      </c>
      <c r="U595">
        <f t="shared" ca="1" si="83"/>
        <v>-93</v>
      </c>
      <c r="V595" t="str">
        <f t="shared" ca="1" si="82"/>
        <v>Pre contrato</v>
      </c>
      <c r="W595" s="34">
        <f t="shared" si="84"/>
        <v>3000000</v>
      </c>
      <c r="X595" s="34">
        <f t="shared" si="85"/>
        <v>6500000</v>
      </c>
    </row>
    <row r="596" spans="1:24">
      <c r="A596" t="s">
        <v>773</v>
      </c>
      <c r="B596" t="s">
        <v>315</v>
      </c>
      <c r="C596" t="s">
        <v>315</v>
      </c>
      <c r="D596" s="6" t="s">
        <v>305</v>
      </c>
      <c r="E596">
        <f t="shared" ca="1" si="78"/>
        <v>25</v>
      </c>
      <c r="F596" s="20">
        <v>37139</v>
      </c>
      <c r="G596" s="20">
        <v>45531</v>
      </c>
      <c r="H596" s="20">
        <v>45838</v>
      </c>
      <c r="I596" s="17">
        <v>200000</v>
      </c>
      <c r="J596" t="s">
        <v>352</v>
      </c>
      <c r="K596" s="6" t="s">
        <v>498</v>
      </c>
      <c r="L596">
        <v>1</v>
      </c>
      <c r="M596">
        <v>27</v>
      </c>
      <c r="N596" s="17">
        <v>6000000</v>
      </c>
      <c r="O596" s="24">
        <f t="shared" si="79"/>
        <v>21000000</v>
      </c>
      <c r="P596" t="s">
        <v>493</v>
      </c>
      <c r="Q596">
        <f t="shared" ca="1" si="80"/>
        <v>120000</v>
      </c>
      <c r="R596" t="s">
        <v>503</v>
      </c>
      <c r="S596">
        <v>1.83</v>
      </c>
      <c r="T596" s="20">
        <f t="shared" ca="1" si="81"/>
        <v>46296</v>
      </c>
      <c r="U596">
        <f t="shared" ca="1" si="83"/>
        <v>-458</v>
      </c>
      <c r="V596" t="str">
        <f t="shared" ca="1" si="82"/>
        <v>Pre contrato</v>
      </c>
      <c r="W596" s="34">
        <f t="shared" si="84"/>
        <v>1200000</v>
      </c>
      <c r="X596" s="34">
        <f t="shared" si="85"/>
        <v>2600000</v>
      </c>
    </row>
    <row r="597" spans="1:24">
      <c r="A597" t="s">
        <v>774</v>
      </c>
      <c r="B597" t="s">
        <v>315</v>
      </c>
      <c r="C597" t="s">
        <v>315</v>
      </c>
      <c r="D597" s="6" t="s">
        <v>342</v>
      </c>
      <c r="E597">
        <f t="shared" ca="1" si="78"/>
        <v>26</v>
      </c>
      <c r="F597" s="20">
        <v>36735</v>
      </c>
      <c r="G597" s="20">
        <v>45537</v>
      </c>
      <c r="H597" s="20">
        <v>45537</v>
      </c>
      <c r="I597" s="17">
        <v>150000</v>
      </c>
      <c r="J597" s="23" t="s">
        <v>775</v>
      </c>
      <c r="K597" s="6" t="s">
        <v>498</v>
      </c>
      <c r="L597">
        <v>0</v>
      </c>
      <c r="M597">
        <v>0</v>
      </c>
      <c r="N597" s="17">
        <v>4000000</v>
      </c>
      <c r="O597" s="24">
        <f t="shared" si="79"/>
        <v>14000000</v>
      </c>
      <c r="P597" t="s">
        <v>493</v>
      </c>
      <c r="Q597">
        <f t="shared" ca="1" si="80"/>
        <v>120000</v>
      </c>
      <c r="R597" t="s">
        <v>503</v>
      </c>
      <c r="S597">
        <v>1.75</v>
      </c>
      <c r="T597" s="20">
        <f t="shared" ca="1" si="81"/>
        <v>46296</v>
      </c>
      <c r="U597">
        <f t="shared" ca="1" si="83"/>
        <v>-759</v>
      </c>
      <c r="V597" t="str">
        <f t="shared" ca="1" si="82"/>
        <v>Pre contrato</v>
      </c>
      <c r="W597" s="34">
        <f t="shared" si="84"/>
        <v>900000</v>
      </c>
      <c r="X597" s="34">
        <f t="shared" si="85"/>
        <v>1950000</v>
      </c>
    </row>
    <row r="598" spans="1:24">
      <c r="A598" t="s">
        <v>776</v>
      </c>
      <c r="B598" t="s">
        <v>315</v>
      </c>
      <c r="C598" t="s">
        <v>315</v>
      </c>
      <c r="D598" s="6" t="s">
        <v>305</v>
      </c>
      <c r="E598">
        <f t="shared" ca="1" si="78"/>
        <v>29</v>
      </c>
      <c r="F598" s="20">
        <v>35512</v>
      </c>
      <c r="G598" s="20">
        <v>45483</v>
      </c>
      <c r="H598" s="20">
        <v>46387</v>
      </c>
      <c r="I598" s="17">
        <v>650000</v>
      </c>
      <c r="J598" t="s">
        <v>400</v>
      </c>
      <c r="K598" s="6" t="s">
        <v>494</v>
      </c>
      <c r="L598">
        <v>1</v>
      </c>
      <c r="M598">
        <v>40</v>
      </c>
      <c r="N598" s="17">
        <v>6500000</v>
      </c>
      <c r="O598" s="24">
        <f t="shared" si="79"/>
        <v>22750000</v>
      </c>
      <c r="P598" t="s">
        <v>493</v>
      </c>
      <c r="Q598">
        <f t="shared" ca="1" si="80"/>
        <v>120000</v>
      </c>
      <c r="R598" t="s">
        <v>503</v>
      </c>
      <c r="S598">
        <v>1.8</v>
      </c>
      <c r="T598" s="20">
        <f t="shared" ca="1" si="81"/>
        <v>46296</v>
      </c>
      <c r="U598">
        <f t="shared" ca="1" si="83"/>
        <v>91</v>
      </c>
      <c r="V598" t="str">
        <f t="shared" ca="1" si="82"/>
        <v>Pre contrato</v>
      </c>
      <c r="W598" s="34">
        <f t="shared" si="84"/>
        <v>3900000</v>
      </c>
      <c r="X598" s="34">
        <f t="shared" si="85"/>
        <v>8450000</v>
      </c>
    </row>
    <row r="599" spans="1:24">
      <c r="A599" t="s">
        <v>777</v>
      </c>
      <c r="B599" t="s">
        <v>315</v>
      </c>
      <c r="C599" t="s">
        <v>315</v>
      </c>
      <c r="D599" s="6" t="s">
        <v>305</v>
      </c>
      <c r="E599">
        <f t="shared" ca="1" si="78"/>
        <v>39</v>
      </c>
      <c r="F599" s="20">
        <v>31983</v>
      </c>
      <c r="G599" s="20">
        <v>45343</v>
      </c>
      <c r="H599" s="20">
        <v>46022</v>
      </c>
      <c r="I599" s="17">
        <v>150000</v>
      </c>
      <c r="J599" t="s">
        <v>348</v>
      </c>
      <c r="K599" s="6" t="s">
        <v>494</v>
      </c>
      <c r="L599">
        <v>0</v>
      </c>
      <c r="M599">
        <v>0</v>
      </c>
      <c r="N599" s="17">
        <v>3000000</v>
      </c>
      <c r="O599" s="24">
        <f t="shared" si="79"/>
        <v>10500000</v>
      </c>
      <c r="P599" t="s">
        <v>493</v>
      </c>
      <c r="Q599">
        <f t="shared" ca="1" si="80"/>
        <v>100000</v>
      </c>
      <c r="R599" t="s">
        <v>582</v>
      </c>
      <c r="S599">
        <v>1.83</v>
      </c>
      <c r="T599" s="20">
        <f t="shared" ca="1" si="81"/>
        <v>46296</v>
      </c>
      <c r="U599">
        <f t="shared" ca="1" si="83"/>
        <v>-274</v>
      </c>
      <c r="V599" t="str">
        <f t="shared" ca="1" si="82"/>
        <v>Pre contrato</v>
      </c>
      <c r="W599" s="34">
        <f t="shared" si="84"/>
        <v>900000</v>
      </c>
      <c r="X599" s="34">
        <f t="shared" si="85"/>
        <v>1950000</v>
      </c>
    </row>
    <row r="600" spans="1:24">
      <c r="A600" t="s">
        <v>127</v>
      </c>
      <c r="B600" t="s">
        <v>315</v>
      </c>
      <c r="C600" t="s">
        <v>315</v>
      </c>
      <c r="D600" s="6" t="s">
        <v>305</v>
      </c>
      <c r="E600">
        <f t="shared" ca="1" si="78"/>
        <v>34</v>
      </c>
      <c r="F600" s="20">
        <v>33795</v>
      </c>
      <c r="G600" s="20">
        <v>44662</v>
      </c>
      <c r="H600" s="20">
        <v>46022</v>
      </c>
      <c r="I600" s="17">
        <v>560000</v>
      </c>
      <c r="J600" t="s">
        <v>379</v>
      </c>
      <c r="K600" s="6" t="s">
        <v>494</v>
      </c>
      <c r="L600">
        <v>0</v>
      </c>
      <c r="M600">
        <v>0</v>
      </c>
      <c r="N600" s="17">
        <v>3000000</v>
      </c>
      <c r="O600" s="24">
        <f t="shared" si="79"/>
        <v>10500000</v>
      </c>
      <c r="P600" t="s">
        <v>493</v>
      </c>
      <c r="Q600">
        <f t="shared" ca="1" si="80"/>
        <v>100000</v>
      </c>
      <c r="R600" t="s">
        <v>506</v>
      </c>
      <c r="S600">
        <v>1.72</v>
      </c>
      <c r="T600" s="20">
        <f t="shared" ca="1" si="81"/>
        <v>46296</v>
      </c>
      <c r="U600">
        <f t="shared" ca="1" si="83"/>
        <v>-274</v>
      </c>
      <c r="V600" t="str">
        <f t="shared" ca="1" si="82"/>
        <v>Pre contrato</v>
      </c>
      <c r="W600" s="34">
        <f t="shared" si="84"/>
        <v>3360000</v>
      </c>
      <c r="X600" s="34">
        <f t="shared" si="85"/>
        <v>7280000</v>
      </c>
    </row>
    <row r="601" spans="1:24">
      <c r="A601" t="s">
        <v>778</v>
      </c>
      <c r="B601" t="s">
        <v>315</v>
      </c>
      <c r="C601" t="s">
        <v>315</v>
      </c>
      <c r="D601" s="6" t="s">
        <v>305</v>
      </c>
      <c r="E601">
        <f t="shared" ca="1" si="78"/>
        <v>25</v>
      </c>
      <c r="F601" s="20">
        <v>36985</v>
      </c>
      <c r="G601" s="20">
        <v>45338</v>
      </c>
      <c r="H601" s="20">
        <v>46752</v>
      </c>
      <c r="I601" s="17">
        <v>150000</v>
      </c>
      <c r="J601" s="26" t="s">
        <v>357</v>
      </c>
      <c r="K601" s="6" t="s">
        <v>494</v>
      </c>
      <c r="L601">
        <v>1</v>
      </c>
      <c r="M601">
        <v>8</v>
      </c>
      <c r="N601" s="17">
        <v>2500000</v>
      </c>
      <c r="O601" s="24">
        <f t="shared" si="79"/>
        <v>8750000</v>
      </c>
      <c r="P601" t="s">
        <v>493</v>
      </c>
      <c r="Q601">
        <f t="shared" ca="1" si="80"/>
        <v>120000</v>
      </c>
      <c r="R601" t="s">
        <v>506</v>
      </c>
      <c r="S601">
        <v>1.75</v>
      </c>
      <c r="T601" s="20">
        <f t="shared" ca="1" si="81"/>
        <v>46296</v>
      </c>
      <c r="U601">
        <f t="shared" ca="1" si="83"/>
        <v>456</v>
      </c>
      <c r="V601" t="str">
        <f t="shared" ca="1" si="82"/>
        <v>Com Contrato em vigor</v>
      </c>
      <c r="W601" s="34">
        <f t="shared" si="84"/>
        <v>900000</v>
      </c>
      <c r="X601" s="34">
        <f t="shared" si="85"/>
        <v>1950000</v>
      </c>
    </row>
    <row r="602" spans="1:24">
      <c r="A602" t="s">
        <v>779</v>
      </c>
      <c r="B602" t="s">
        <v>315</v>
      </c>
      <c r="C602" t="s">
        <v>315</v>
      </c>
      <c r="D602" s="6" t="s">
        <v>305</v>
      </c>
      <c r="E602">
        <f t="shared" ca="1" si="78"/>
        <v>26</v>
      </c>
      <c r="F602" s="20">
        <v>36586</v>
      </c>
      <c r="G602" s="20">
        <v>45305</v>
      </c>
      <c r="H602" s="20">
        <v>46022</v>
      </c>
      <c r="I602" s="17">
        <v>150000</v>
      </c>
      <c r="J602" s="26" t="s">
        <v>357</v>
      </c>
      <c r="K602" s="6" t="s">
        <v>494</v>
      </c>
      <c r="L602">
        <v>0</v>
      </c>
      <c r="M602">
        <v>0</v>
      </c>
      <c r="N602" s="17">
        <v>8000000</v>
      </c>
      <c r="O602" s="24">
        <f t="shared" si="79"/>
        <v>28000000</v>
      </c>
      <c r="P602" t="s">
        <v>493</v>
      </c>
      <c r="Q602">
        <f t="shared" ca="1" si="80"/>
        <v>120000</v>
      </c>
      <c r="R602" t="s">
        <v>503</v>
      </c>
      <c r="S602">
        <v>1.82</v>
      </c>
      <c r="T602" s="20">
        <f t="shared" ca="1" si="81"/>
        <v>46296</v>
      </c>
      <c r="U602">
        <f t="shared" ca="1" si="83"/>
        <v>-274</v>
      </c>
      <c r="V602" t="str">
        <f t="shared" ca="1" si="82"/>
        <v>Pre contrato</v>
      </c>
      <c r="W602" s="34">
        <f t="shared" si="84"/>
        <v>900000</v>
      </c>
      <c r="X602" s="34">
        <f t="shared" si="85"/>
        <v>1950000</v>
      </c>
    </row>
    <row r="603" spans="1:24">
      <c r="A603" t="s">
        <v>780</v>
      </c>
      <c r="B603" t="s">
        <v>315</v>
      </c>
      <c r="C603" t="s">
        <v>315</v>
      </c>
      <c r="D603" s="6" t="s">
        <v>305</v>
      </c>
      <c r="E603">
        <f t="shared" ca="1" si="78"/>
        <v>24</v>
      </c>
      <c r="F603" s="20">
        <v>37385</v>
      </c>
      <c r="G603" s="20">
        <v>45505</v>
      </c>
      <c r="H603" s="20">
        <v>45838</v>
      </c>
      <c r="I603" s="17">
        <v>250000</v>
      </c>
      <c r="J603" t="s">
        <v>357</v>
      </c>
      <c r="K603" s="6" t="s">
        <v>494</v>
      </c>
      <c r="L603">
        <v>0</v>
      </c>
      <c r="M603">
        <v>0</v>
      </c>
      <c r="N603" s="17">
        <v>4500000</v>
      </c>
      <c r="O603" s="24">
        <f t="shared" si="79"/>
        <v>15750000</v>
      </c>
      <c r="P603" t="s">
        <v>493</v>
      </c>
      <c r="Q603">
        <f t="shared" ca="1" si="80"/>
        <v>160000</v>
      </c>
      <c r="R603" t="s">
        <v>503</v>
      </c>
      <c r="S603">
        <v>1.87</v>
      </c>
      <c r="T603" s="20">
        <f t="shared" ca="1" si="81"/>
        <v>46296</v>
      </c>
      <c r="U603">
        <f t="shared" ca="1" si="83"/>
        <v>-458</v>
      </c>
      <c r="V603" t="str">
        <f t="shared" ca="1" si="82"/>
        <v>Pre contrato</v>
      </c>
      <c r="W603" s="34">
        <f t="shared" si="84"/>
        <v>1500000</v>
      </c>
      <c r="X603" s="34">
        <f t="shared" si="85"/>
        <v>3250000</v>
      </c>
    </row>
    <row r="604" spans="1:24">
      <c r="A604" t="s">
        <v>781</v>
      </c>
      <c r="B604" t="s">
        <v>315</v>
      </c>
      <c r="C604" t="s">
        <v>315</v>
      </c>
      <c r="D604" s="6" t="s">
        <v>322</v>
      </c>
      <c r="E604">
        <f t="shared" ca="1" si="78"/>
        <v>37</v>
      </c>
      <c r="F604" s="20">
        <v>32615</v>
      </c>
      <c r="G604" s="20">
        <v>45509</v>
      </c>
      <c r="H604" s="20">
        <v>46022</v>
      </c>
      <c r="I604" s="17">
        <v>450000</v>
      </c>
      <c r="J604" t="s">
        <v>404</v>
      </c>
      <c r="K604" s="6" t="s">
        <v>499</v>
      </c>
      <c r="L604">
        <v>1</v>
      </c>
      <c r="M604">
        <v>23</v>
      </c>
      <c r="N604" s="17">
        <v>2000000</v>
      </c>
      <c r="O604" s="24">
        <f t="shared" si="79"/>
        <v>7000000</v>
      </c>
      <c r="P604" t="s">
        <v>493</v>
      </c>
      <c r="Q604">
        <f t="shared" ca="1" si="80"/>
        <v>100000</v>
      </c>
      <c r="R604" t="s">
        <v>506</v>
      </c>
      <c r="S604">
        <v>1.71</v>
      </c>
      <c r="T604" s="20">
        <f t="shared" ca="1" si="81"/>
        <v>46296</v>
      </c>
      <c r="U604">
        <f t="shared" ca="1" si="83"/>
        <v>-274</v>
      </c>
      <c r="V604" t="str">
        <f t="shared" ca="1" si="82"/>
        <v>Pre contrato</v>
      </c>
      <c r="W604" s="34">
        <f t="shared" si="84"/>
        <v>2700000</v>
      </c>
      <c r="X604" s="34">
        <f t="shared" si="85"/>
        <v>5850000</v>
      </c>
    </row>
    <row r="605" spans="1:24">
      <c r="A605" t="s">
        <v>782</v>
      </c>
      <c r="B605" t="s">
        <v>315</v>
      </c>
      <c r="C605" t="s">
        <v>315</v>
      </c>
      <c r="D605" s="6" t="s">
        <v>305</v>
      </c>
      <c r="E605">
        <f t="shared" ca="1" si="78"/>
        <v>34</v>
      </c>
      <c r="F605" s="20">
        <v>33698</v>
      </c>
      <c r="G605" s="20">
        <v>45126</v>
      </c>
      <c r="H605" s="20">
        <v>46022</v>
      </c>
      <c r="I605" s="17">
        <v>700000</v>
      </c>
      <c r="J605" t="s">
        <v>464</v>
      </c>
      <c r="K605" s="6" t="s">
        <v>499</v>
      </c>
      <c r="L605">
        <v>1</v>
      </c>
      <c r="M605">
        <v>21</v>
      </c>
      <c r="N605" s="17">
        <v>1000000</v>
      </c>
      <c r="O605" s="24">
        <f t="shared" si="79"/>
        <v>3500000</v>
      </c>
      <c r="P605" t="s">
        <v>493</v>
      </c>
      <c r="Q605">
        <f t="shared" ca="1" si="80"/>
        <v>100000</v>
      </c>
      <c r="R605" t="s">
        <v>506</v>
      </c>
      <c r="S605">
        <v>1.8</v>
      </c>
      <c r="T605" s="20">
        <f t="shared" ca="1" si="81"/>
        <v>46296</v>
      </c>
      <c r="U605">
        <f t="shared" ca="1" si="83"/>
        <v>-274</v>
      </c>
      <c r="V605" t="str">
        <f t="shared" ca="1" si="82"/>
        <v>Pre contrato</v>
      </c>
      <c r="W605" s="34">
        <f t="shared" si="84"/>
        <v>4200000</v>
      </c>
      <c r="X605" s="34">
        <f t="shared" si="85"/>
        <v>9100000</v>
      </c>
    </row>
    <row r="606" spans="1:24">
      <c r="A606" t="s">
        <v>783</v>
      </c>
      <c r="B606" t="s">
        <v>315</v>
      </c>
      <c r="C606" t="s">
        <v>315</v>
      </c>
      <c r="D606" s="6" t="s">
        <v>305</v>
      </c>
      <c r="E606">
        <f t="shared" ca="1" si="78"/>
        <v>21</v>
      </c>
      <c r="F606" s="20">
        <v>38509</v>
      </c>
      <c r="G606" s="20">
        <v>45323</v>
      </c>
      <c r="H606" s="20">
        <v>47118</v>
      </c>
      <c r="I606" s="17">
        <v>250000</v>
      </c>
      <c r="J606" t="s">
        <v>784</v>
      </c>
      <c r="K606" s="6" t="s">
        <v>499</v>
      </c>
      <c r="L606">
        <v>0</v>
      </c>
      <c r="M606">
        <v>0</v>
      </c>
      <c r="N606" s="17">
        <v>1000000</v>
      </c>
      <c r="O606" s="24">
        <f t="shared" si="79"/>
        <v>3500000</v>
      </c>
      <c r="P606" t="s">
        <v>493</v>
      </c>
      <c r="Q606">
        <f t="shared" ca="1" si="80"/>
        <v>160000</v>
      </c>
      <c r="R606" t="s">
        <v>506</v>
      </c>
      <c r="S606">
        <v>1.79</v>
      </c>
      <c r="T606" s="20">
        <f t="shared" ca="1" si="81"/>
        <v>46296</v>
      </c>
      <c r="U606">
        <f t="shared" ca="1" si="83"/>
        <v>822</v>
      </c>
      <c r="V606" t="str">
        <f t="shared" ca="1" si="82"/>
        <v>Com Contrato em vigor</v>
      </c>
      <c r="W606" s="34">
        <f t="shared" si="84"/>
        <v>1500000</v>
      </c>
      <c r="X606" s="34">
        <f t="shared" si="85"/>
        <v>3250000</v>
      </c>
    </row>
    <row r="607" spans="1:24">
      <c r="A607" t="s">
        <v>785</v>
      </c>
      <c r="B607" t="s">
        <v>315</v>
      </c>
      <c r="C607" t="s">
        <v>315</v>
      </c>
      <c r="D607" s="6" t="s">
        <v>305</v>
      </c>
      <c r="E607">
        <f t="shared" ca="1" si="78"/>
        <v>35</v>
      </c>
      <c r="F607" s="20">
        <v>33371</v>
      </c>
      <c r="G607" s="20">
        <v>44662</v>
      </c>
      <c r="H607" s="20">
        <v>46387</v>
      </c>
      <c r="I607" s="17">
        <v>1500000</v>
      </c>
      <c r="J607" t="s">
        <v>357</v>
      </c>
      <c r="K607" s="6" t="s">
        <v>499</v>
      </c>
      <c r="L607">
        <v>0</v>
      </c>
      <c r="M607">
        <v>0</v>
      </c>
      <c r="N607" s="17">
        <v>6000000</v>
      </c>
      <c r="O607" s="24">
        <f t="shared" si="79"/>
        <v>21000000</v>
      </c>
      <c r="P607" t="s">
        <v>493</v>
      </c>
      <c r="Q607">
        <f t="shared" ca="1" si="80"/>
        <v>100000</v>
      </c>
      <c r="R607" t="s">
        <v>503</v>
      </c>
      <c r="S607">
        <v>1.77</v>
      </c>
      <c r="T607" s="20">
        <f t="shared" ca="1" si="81"/>
        <v>46296</v>
      </c>
      <c r="U607">
        <f t="shared" ca="1" si="83"/>
        <v>91</v>
      </c>
      <c r="V607" t="str">
        <f t="shared" ca="1" si="82"/>
        <v>Pre contrato</v>
      </c>
      <c r="W607" s="34">
        <f t="shared" si="84"/>
        <v>9000000</v>
      </c>
      <c r="X607" s="34">
        <f t="shared" si="85"/>
        <v>19500000</v>
      </c>
    </row>
    <row r="608" spans="1:24">
      <c r="A608" t="s">
        <v>786</v>
      </c>
      <c r="B608" t="s">
        <v>315</v>
      </c>
      <c r="C608" t="s">
        <v>315</v>
      </c>
      <c r="D608" s="6" t="s">
        <v>305</v>
      </c>
      <c r="E608">
        <f t="shared" ca="1" si="78"/>
        <v>33</v>
      </c>
      <c r="F608" s="20">
        <v>34114</v>
      </c>
      <c r="G608" s="20">
        <v>45299</v>
      </c>
      <c r="H608" s="20">
        <v>46022</v>
      </c>
      <c r="I608" s="17">
        <v>400000</v>
      </c>
      <c r="J608" t="s">
        <v>411</v>
      </c>
      <c r="K608" s="6" t="s">
        <v>499</v>
      </c>
      <c r="L608">
        <v>0</v>
      </c>
      <c r="M608">
        <v>0</v>
      </c>
      <c r="N608" s="17">
        <v>4000000</v>
      </c>
      <c r="O608" s="24">
        <f t="shared" si="79"/>
        <v>14000000</v>
      </c>
      <c r="P608" t="s">
        <v>493</v>
      </c>
      <c r="Q608">
        <f t="shared" ca="1" si="80"/>
        <v>100000</v>
      </c>
      <c r="R608" t="s">
        <v>503</v>
      </c>
      <c r="S608">
        <v>1.75</v>
      </c>
      <c r="T608" s="20">
        <f t="shared" ca="1" si="81"/>
        <v>46296</v>
      </c>
      <c r="U608">
        <f t="shared" ca="1" si="83"/>
        <v>-274</v>
      </c>
      <c r="V608" t="str">
        <f t="shared" ca="1" si="82"/>
        <v>Pre contrato</v>
      </c>
      <c r="W608" s="34">
        <f t="shared" si="84"/>
        <v>2400000</v>
      </c>
      <c r="X608" s="34">
        <f t="shared" si="85"/>
        <v>5200000</v>
      </c>
    </row>
    <row r="609" spans="1:24">
      <c r="A609" t="s">
        <v>787</v>
      </c>
      <c r="B609" t="s">
        <v>315</v>
      </c>
      <c r="C609" t="s">
        <v>315</v>
      </c>
      <c r="D609" s="6" t="s">
        <v>305</v>
      </c>
      <c r="E609">
        <f t="shared" ca="1" si="78"/>
        <v>31</v>
      </c>
      <c r="F609" s="20">
        <v>34614</v>
      </c>
      <c r="G609" s="20">
        <v>44927</v>
      </c>
      <c r="H609" s="20">
        <v>46022</v>
      </c>
      <c r="I609" s="17">
        <v>650000</v>
      </c>
      <c r="J609" t="s">
        <v>348</v>
      </c>
      <c r="K609" s="6" t="s">
        <v>500</v>
      </c>
      <c r="L609">
        <v>0</v>
      </c>
      <c r="M609">
        <v>0</v>
      </c>
      <c r="N609" s="17">
        <v>15000000</v>
      </c>
      <c r="O609" s="24">
        <f t="shared" si="79"/>
        <v>52500000</v>
      </c>
      <c r="P609" t="s">
        <v>493</v>
      </c>
      <c r="Q609">
        <f t="shared" ca="1" si="80"/>
        <v>100000</v>
      </c>
      <c r="R609" t="s">
        <v>506</v>
      </c>
      <c r="S609">
        <v>1.75</v>
      </c>
      <c r="T609" s="20">
        <f t="shared" ca="1" si="81"/>
        <v>46296</v>
      </c>
      <c r="U609">
        <f t="shared" ca="1" si="83"/>
        <v>-274</v>
      </c>
      <c r="V609" t="str">
        <f t="shared" ca="1" si="82"/>
        <v>Pre contrato</v>
      </c>
      <c r="W609" s="34">
        <f t="shared" si="84"/>
        <v>3900000</v>
      </c>
      <c r="X609" s="34">
        <f t="shared" si="85"/>
        <v>8450000</v>
      </c>
    </row>
    <row r="610" spans="1:24">
      <c r="A610" t="s">
        <v>788</v>
      </c>
      <c r="B610" t="s">
        <v>315</v>
      </c>
      <c r="C610" t="s">
        <v>315</v>
      </c>
      <c r="D610" s="6" t="s">
        <v>305</v>
      </c>
      <c r="E610">
        <f t="shared" ca="1" si="78"/>
        <v>27</v>
      </c>
      <c r="F610" s="20">
        <v>36249</v>
      </c>
      <c r="G610" s="20">
        <v>45338</v>
      </c>
      <c r="H610" s="20">
        <v>46387</v>
      </c>
      <c r="I610" s="17">
        <v>550000</v>
      </c>
      <c r="J610" t="s">
        <v>379</v>
      </c>
      <c r="K610" s="6" t="s">
        <v>500</v>
      </c>
      <c r="L610">
        <v>0</v>
      </c>
      <c r="M610">
        <v>0</v>
      </c>
      <c r="N610" s="17">
        <v>23000000</v>
      </c>
      <c r="O610" s="24">
        <f t="shared" si="79"/>
        <v>80500000</v>
      </c>
      <c r="P610" t="s">
        <v>493</v>
      </c>
      <c r="Q610">
        <f t="shared" ca="1" si="80"/>
        <v>120000</v>
      </c>
      <c r="R610" t="s">
        <v>506</v>
      </c>
      <c r="S610">
        <v>1.75</v>
      </c>
      <c r="T610" s="20">
        <f t="shared" ca="1" si="81"/>
        <v>46296</v>
      </c>
      <c r="U610">
        <f t="shared" ca="1" si="83"/>
        <v>91</v>
      </c>
      <c r="V610" t="str">
        <f t="shared" ca="1" si="82"/>
        <v>Pre contrato</v>
      </c>
      <c r="W610" s="34">
        <f t="shared" si="84"/>
        <v>3300000</v>
      </c>
      <c r="X610" s="34">
        <f t="shared" si="85"/>
        <v>7150000</v>
      </c>
    </row>
    <row r="611" spans="1:24">
      <c r="A611" t="s">
        <v>161</v>
      </c>
      <c r="B611" t="s">
        <v>315</v>
      </c>
      <c r="C611" t="s">
        <v>315</v>
      </c>
      <c r="D611" s="6" t="s">
        <v>319</v>
      </c>
      <c r="E611">
        <f t="shared" ca="1" si="78"/>
        <v>34</v>
      </c>
      <c r="F611" s="20">
        <v>33674</v>
      </c>
      <c r="G611" s="20">
        <v>45393</v>
      </c>
      <c r="H611" s="20">
        <v>45657</v>
      </c>
      <c r="I611" s="17">
        <v>300000</v>
      </c>
      <c r="J611" t="s">
        <v>439</v>
      </c>
      <c r="K611" s="6" t="s">
        <v>500</v>
      </c>
      <c r="L611">
        <v>3</v>
      </c>
      <c r="M611">
        <v>65</v>
      </c>
      <c r="N611" s="17">
        <v>500000</v>
      </c>
      <c r="O611" s="24">
        <f t="shared" si="79"/>
        <v>1750000</v>
      </c>
      <c r="P611" t="s">
        <v>493</v>
      </c>
      <c r="Q611">
        <f t="shared" ca="1" si="80"/>
        <v>100000</v>
      </c>
      <c r="R611" t="s">
        <v>506</v>
      </c>
      <c r="S611">
        <v>1.77</v>
      </c>
      <c r="T611" s="20">
        <f t="shared" ca="1" si="81"/>
        <v>46296</v>
      </c>
      <c r="U611">
        <f t="shared" ref="U611:U642" ca="1" si="86">_xlfn.DAYS(H611,T611)</f>
        <v>-639</v>
      </c>
      <c r="V611" t="str">
        <f t="shared" ca="1" si="82"/>
        <v>Pre contrato</v>
      </c>
      <c r="W611" s="34">
        <f t="shared" si="84"/>
        <v>1800000</v>
      </c>
      <c r="X611" s="34">
        <f t="shared" si="85"/>
        <v>3900000</v>
      </c>
    </row>
    <row r="612" spans="1:24">
      <c r="A612" t="s">
        <v>789</v>
      </c>
      <c r="B612" t="s">
        <v>315</v>
      </c>
      <c r="C612" t="s">
        <v>315</v>
      </c>
      <c r="D612" s="6" t="s">
        <v>305</v>
      </c>
      <c r="E612">
        <f t="shared" ca="1" si="78"/>
        <v>29</v>
      </c>
      <c r="F612" s="20">
        <v>35519</v>
      </c>
      <c r="G612" s="20">
        <v>45515</v>
      </c>
      <c r="H612" s="20">
        <v>46752</v>
      </c>
      <c r="I612" s="17">
        <v>250000</v>
      </c>
      <c r="J612" t="s">
        <v>348</v>
      </c>
      <c r="K612" s="6" t="s">
        <v>500</v>
      </c>
      <c r="L612">
        <v>1</v>
      </c>
      <c r="M612">
        <v>20</v>
      </c>
      <c r="N612" s="17">
        <v>1000000</v>
      </c>
      <c r="O612" s="24">
        <f t="shared" si="79"/>
        <v>3500000</v>
      </c>
      <c r="P612" t="s">
        <v>497</v>
      </c>
      <c r="Q612">
        <f t="shared" ca="1" si="80"/>
        <v>120000</v>
      </c>
      <c r="R612" t="s">
        <v>503</v>
      </c>
      <c r="S612">
        <v>1.75</v>
      </c>
      <c r="T612" s="20">
        <f t="shared" ca="1" si="81"/>
        <v>46296</v>
      </c>
      <c r="U612">
        <f t="shared" ca="1" si="86"/>
        <v>456</v>
      </c>
      <c r="V612" t="str">
        <f t="shared" ca="1" si="82"/>
        <v>Com Contrato em vigor</v>
      </c>
      <c r="W612" s="34">
        <f t="shared" si="84"/>
        <v>1500000</v>
      </c>
      <c r="X612" s="34">
        <f t="shared" si="85"/>
        <v>3250000</v>
      </c>
    </row>
    <row r="613" spans="1:24">
      <c r="A613" t="s">
        <v>790</v>
      </c>
      <c r="B613" t="s">
        <v>315</v>
      </c>
      <c r="C613" t="s">
        <v>315</v>
      </c>
      <c r="D613" s="6" t="s">
        <v>318</v>
      </c>
      <c r="E613">
        <f t="shared" ca="1" si="78"/>
        <v>31</v>
      </c>
      <c r="F613" s="20">
        <v>34957</v>
      </c>
      <c r="G613" s="20">
        <v>45356</v>
      </c>
      <c r="H613" s="20">
        <v>47118</v>
      </c>
      <c r="I613" s="17">
        <v>1200000</v>
      </c>
      <c r="J613" t="s">
        <v>791</v>
      </c>
      <c r="K613" s="6" t="s">
        <v>500</v>
      </c>
      <c r="L613">
        <v>1</v>
      </c>
      <c r="M613">
        <v>34</v>
      </c>
      <c r="N613" s="17">
        <v>14000000</v>
      </c>
      <c r="O613" s="24">
        <f t="shared" si="79"/>
        <v>49000000</v>
      </c>
      <c r="P613" t="s">
        <v>493</v>
      </c>
      <c r="Q613">
        <f t="shared" ca="1" si="80"/>
        <v>100000</v>
      </c>
      <c r="R613" t="s">
        <v>503</v>
      </c>
      <c r="S613">
        <v>1.74</v>
      </c>
      <c r="T613" s="20">
        <f t="shared" ca="1" si="81"/>
        <v>46296</v>
      </c>
      <c r="U613">
        <f t="shared" ca="1" si="86"/>
        <v>822</v>
      </c>
      <c r="V613" t="str">
        <f t="shared" ca="1" si="82"/>
        <v>Com Contrato em vigor</v>
      </c>
      <c r="W613" s="34">
        <f t="shared" si="84"/>
        <v>7200000</v>
      </c>
      <c r="X613" s="34">
        <f t="shared" si="85"/>
        <v>15600000</v>
      </c>
    </row>
    <row r="614" spans="1:24">
      <c r="A614" t="s">
        <v>792</v>
      </c>
      <c r="B614" t="s">
        <v>315</v>
      </c>
      <c r="C614" t="s">
        <v>315</v>
      </c>
      <c r="D614" s="6" t="s">
        <v>309</v>
      </c>
      <c r="E614">
        <f t="shared" ca="1" si="78"/>
        <v>36</v>
      </c>
      <c r="F614" s="20">
        <v>32816</v>
      </c>
      <c r="G614" s="20">
        <v>45110</v>
      </c>
      <c r="H614" s="20">
        <v>46203</v>
      </c>
      <c r="I614" s="17">
        <v>950000</v>
      </c>
      <c r="J614" t="s">
        <v>793</v>
      </c>
      <c r="K614" s="6" t="s">
        <v>500</v>
      </c>
      <c r="L614">
        <v>1</v>
      </c>
      <c r="M614">
        <v>29</v>
      </c>
      <c r="N614" s="17">
        <v>6000000</v>
      </c>
      <c r="O614" s="24">
        <f t="shared" si="79"/>
        <v>21000000</v>
      </c>
      <c r="P614" t="s">
        <v>497</v>
      </c>
      <c r="Q614">
        <f t="shared" ca="1" si="80"/>
        <v>100000</v>
      </c>
      <c r="R614" t="s">
        <v>503</v>
      </c>
      <c r="S614">
        <v>1.78</v>
      </c>
      <c r="T614" s="20">
        <f t="shared" ca="1" si="81"/>
        <v>46296</v>
      </c>
      <c r="U614">
        <f t="shared" ca="1" si="86"/>
        <v>-93</v>
      </c>
      <c r="V614" t="str">
        <f t="shared" ca="1" si="82"/>
        <v>Pre contrato</v>
      </c>
      <c r="W614" s="34">
        <f t="shared" si="84"/>
        <v>5700000</v>
      </c>
      <c r="X614" s="34">
        <f t="shared" si="85"/>
        <v>12350000</v>
      </c>
    </row>
    <row r="615" spans="1:24">
      <c r="A615" t="s">
        <v>794</v>
      </c>
      <c r="B615" t="s">
        <v>315</v>
      </c>
      <c r="C615" t="s">
        <v>315</v>
      </c>
      <c r="D615" s="6" t="s">
        <v>305</v>
      </c>
      <c r="E615">
        <f t="shared" ca="1" si="78"/>
        <v>39</v>
      </c>
      <c r="F615" s="20">
        <v>31879</v>
      </c>
      <c r="G615" s="20">
        <v>45503</v>
      </c>
      <c r="H615" s="20">
        <v>45657</v>
      </c>
      <c r="I615" s="17">
        <v>800000</v>
      </c>
      <c r="J615" t="s">
        <v>391</v>
      </c>
      <c r="K615" s="6" t="s">
        <v>500</v>
      </c>
      <c r="L615">
        <v>0</v>
      </c>
      <c r="M615">
        <v>0</v>
      </c>
      <c r="N615" s="17">
        <v>250000</v>
      </c>
      <c r="O615" s="24">
        <f t="shared" si="79"/>
        <v>875000</v>
      </c>
      <c r="P615" t="s">
        <v>493</v>
      </c>
      <c r="Q615">
        <f t="shared" ca="1" si="80"/>
        <v>100000</v>
      </c>
      <c r="R615" t="s">
        <v>503</v>
      </c>
      <c r="S615">
        <v>1.86</v>
      </c>
      <c r="T615" s="20">
        <f t="shared" ca="1" si="81"/>
        <v>46296</v>
      </c>
      <c r="U615">
        <f t="shared" ca="1" si="86"/>
        <v>-639</v>
      </c>
      <c r="V615" t="str">
        <f t="shared" ca="1" si="82"/>
        <v>Pre contrato</v>
      </c>
      <c r="W615" s="34">
        <f t="shared" si="84"/>
        <v>4800000</v>
      </c>
      <c r="X615" s="34">
        <f t="shared" si="85"/>
        <v>10400000</v>
      </c>
    </row>
    <row r="616" spans="1:24">
      <c r="A616" t="s">
        <v>795</v>
      </c>
      <c r="B616" t="s">
        <v>315</v>
      </c>
      <c r="C616" t="s">
        <v>315</v>
      </c>
      <c r="D616" s="6" t="s">
        <v>342</v>
      </c>
      <c r="E616">
        <f t="shared" ca="1" si="78"/>
        <v>33</v>
      </c>
      <c r="F616" s="20">
        <v>33885</v>
      </c>
      <c r="G616" s="20">
        <v>45302</v>
      </c>
      <c r="H616" s="20">
        <v>46022</v>
      </c>
      <c r="I616" s="17">
        <v>1200000</v>
      </c>
      <c r="J616" t="s">
        <v>796</v>
      </c>
      <c r="K616" s="6" t="s">
        <v>500</v>
      </c>
      <c r="L616">
        <v>1</v>
      </c>
      <c r="M616">
        <v>13</v>
      </c>
      <c r="N616" s="17">
        <v>4000000</v>
      </c>
      <c r="O616" s="24">
        <f t="shared" si="79"/>
        <v>14000000</v>
      </c>
      <c r="P616" t="s">
        <v>493</v>
      </c>
      <c r="Q616">
        <f t="shared" ca="1" si="80"/>
        <v>100000</v>
      </c>
      <c r="R616" t="s">
        <v>503</v>
      </c>
      <c r="S616">
        <v>1.85</v>
      </c>
      <c r="T616" s="20">
        <f t="shared" ca="1" si="81"/>
        <v>46296</v>
      </c>
      <c r="U616">
        <f t="shared" ca="1" si="86"/>
        <v>-274</v>
      </c>
      <c r="V616" t="str">
        <f t="shared" ca="1" si="82"/>
        <v>Pre contrato</v>
      </c>
      <c r="W616" s="34">
        <f t="shared" si="84"/>
        <v>7200000</v>
      </c>
      <c r="X616" s="34">
        <f t="shared" si="85"/>
        <v>15600000</v>
      </c>
    </row>
    <row r="617" spans="1:24">
      <c r="A617" t="s">
        <v>797</v>
      </c>
      <c r="B617" t="s">
        <v>315</v>
      </c>
      <c r="C617" t="s">
        <v>315</v>
      </c>
      <c r="D617" s="6" t="s">
        <v>305</v>
      </c>
      <c r="E617">
        <f t="shared" ca="1" si="78"/>
        <v>23</v>
      </c>
      <c r="F617" s="20">
        <v>37713</v>
      </c>
      <c r="G617" s="20">
        <v>44927</v>
      </c>
      <c r="H617" s="20">
        <v>46022</v>
      </c>
      <c r="I617" s="17">
        <v>250000</v>
      </c>
      <c r="J617" t="s">
        <v>466</v>
      </c>
      <c r="K617" s="6" t="s">
        <v>500</v>
      </c>
      <c r="L617">
        <v>0</v>
      </c>
      <c r="M617">
        <v>0</v>
      </c>
      <c r="N617" s="17">
        <v>1000000</v>
      </c>
      <c r="O617" s="24">
        <f t="shared" si="79"/>
        <v>3500000</v>
      </c>
      <c r="P617" t="s">
        <v>493</v>
      </c>
      <c r="Q617">
        <f t="shared" ca="1" si="80"/>
        <v>160000</v>
      </c>
      <c r="R617" t="s">
        <v>506</v>
      </c>
      <c r="S617">
        <v>1.8</v>
      </c>
      <c r="T617" s="20">
        <f t="shared" ca="1" si="81"/>
        <v>46296</v>
      </c>
      <c r="U617">
        <f t="shared" ca="1" si="86"/>
        <v>-274</v>
      </c>
      <c r="V617" t="str">
        <f t="shared" ca="1" si="82"/>
        <v>Pre contrato</v>
      </c>
      <c r="W617" s="34">
        <f t="shared" si="84"/>
        <v>1500000</v>
      </c>
      <c r="X617" s="34">
        <f t="shared" si="85"/>
        <v>3250000</v>
      </c>
    </row>
    <row r="618" spans="1:24">
      <c r="A618" t="s">
        <v>715</v>
      </c>
      <c r="B618" t="s">
        <v>716</v>
      </c>
      <c r="C618" t="s">
        <v>716</v>
      </c>
      <c r="D618" s="6" t="s">
        <v>305</v>
      </c>
      <c r="E618">
        <f t="shared" ca="1" si="78"/>
        <v>38</v>
      </c>
      <c r="F618" s="20">
        <v>32124</v>
      </c>
      <c r="G618" s="20">
        <v>43101</v>
      </c>
      <c r="H618" s="20">
        <v>46387</v>
      </c>
      <c r="I618" s="17">
        <v>700000</v>
      </c>
      <c r="J618" t="s">
        <v>464</v>
      </c>
      <c r="K618" s="6" t="s">
        <v>495</v>
      </c>
      <c r="L618">
        <v>0</v>
      </c>
      <c r="M618">
        <v>0</v>
      </c>
      <c r="N618" s="17">
        <v>6000000</v>
      </c>
      <c r="O618" s="24">
        <f t="shared" si="79"/>
        <v>21000000</v>
      </c>
      <c r="P618" t="s">
        <v>493</v>
      </c>
      <c r="Q618">
        <f t="shared" ca="1" si="80"/>
        <v>100000</v>
      </c>
      <c r="R618" t="s">
        <v>505</v>
      </c>
      <c r="S618">
        <v>1.89</v>
      </c>
      <c r="T618" s="20">
        <f t="shared" ca="1" si="81"/>
        <v>46296</v>
      </c>
      <c r="U618">
        <f t="shared" ca="1" si="86"/>
        <v>91</v>
      </c>
      <c r="V618" t="str">
        <f t="shared" ca="1" si="82"/>
        <v>Pre contrato</v>
      </c>
      <c r="W618" s="34">
        <f t="shared" si="84"/>
        <v>4200000</v>
      </c>
      <c r="X618" s="34">
        <f t="shared" si="85"/>
        <v>9100000</v>
      </c>
    </row>
    <row r="619" spans="1:24">
      <c r="A619" t="s">
        <v>717</v>
      </c>
      <c r="B619" t="s">
        <v>716</v>
      </c>
      <c r="C619" t="s">
        <v>716</v>
      </c>
      <c r="D619" s="6" t="s">
        <v>305</v>
      </c>
      <c r="E619">
        <f t="shared" ca="1" si="78"/>
        <v>39</v>
      </c>
      <c r="F619" s="20">
        <v>31764</v>
      </c>
      <c r="G619" s="20">
        <v>44562</v>
      </c>
      <c r="H619" s="20">
        <v>46022</v>
      </c>
      <c r="I619" s="17">
        <v>350000</v>
      </c>
      <c r="J619" t="s">
        <v>429</v>
      </c>
      <c r="K619" s="6" t="s">
        <v>495</v>
      </c>
      <c r="L619">
        <v>0</v>
      </c>
      <c r="M619">
        <v>0</v>
      </c>
      <c r="N619" s="17">
        <v>1000000</v>
      </c>
      <c r="O619" s="24">
        <f t="shared" si="79"/>
        <v>3500000</v>
      </c>
      <c r="P619" t="s">
        <v>493</v>
      </c>
      <c r="Q619">
        <f t="shared" ca="1" si="80"/>
        <v>100000</v>
      </c>
      <c r="R619" t="s">
        <v>503</v>
      </c>
      <c r="S619">
        <v>1.89</v>
      </c>
      <c r="T619" s="20">
        <f t="shared" ca="1" si="81"/>
        <v>46296</v>
      </c>
      <c r="U619">
        <f t="shared" ca="1" si="86"/>
        <v>-274</v>
      </c>
      <c r="V619" t="str">
        <f t="shared" ca="1" si="82"/>
        <v>Pre contrato</v>
      </c>
      <c r="W619" s="34">
        <f t="shared" si="84"/>
        <v>2100000</v>
      </c>
      <c r="X619" s="34">
        <f t="shared" si="85"/>
        <v>4550000</v>
      </c>
    </row>
    <row r="620" spans="1:24">
      <c r="A620" t="s">
        <v>718</v>
      </c>
      <c r="B620" t="s">
        <v>716</v>
      </c>
      <c r="C620" t="s">
        <v>716</v>
      </c>
      <c r="D620" s="6" t="s">
        <v>312</v>
      </c>
      <c r="E620">
        <f t="shared" ca="1" si="78"/>
        <v>33</v>
      </c>
      <c r="F620" s="20">
        <v>34095</v>
      </c>
      <c r="G620" s="20">
        <v>44013</v>
      </c>
      <c r="H620" s="20">
        <v>46752</v>
      </c>
      <c r="I620" s="17">
        <v>700000</v>
      </c>
      <c r="J620" t="s">
        <v>446</v>
      </c>
      <c r="K620" s="6" t="s">
        <v>492</v>
      </c>
      <c r="L620">
        <v>3</v>
      </c>
      <c r="M620">
        <v>43</v>
      </c>
      <c r="N620" s="17">
        <v>16000000</v>
      </c>
      <c r="O620" s="24">
        <f t="shared" si="79"/>
        <v>56000000</v>
      </c>
      <c r="P620" t="s">
        <v>493</v>
      </c>
      <c r="Q620">
        <f t="shared" ca="1" si="80"/>
        <v>100000</v>
      </c>
      <c r="R620" t="s">
        <v>506</v>
      </c>
      <c r="S620">
        <v>1.85</v>
      </c>
      <c r="T620" s="20">
        <f t="shared" ca="1" si="81"/>
        <v>46296</v>
      </c>
      <c r="U620">
        <f t="shared" ca="1" si="86"/>
        <v>456</v>
      </c>
      <c r="V620" t="str">
        <f t="shared" ca="1" si="82"/>
        <v>Com Contrato em vigor</v>
      </c>
      <c r="W620" s="34">
        <f t="shared" si="84"/>
        <v>4200000</v>
      </c>
      <c r="X620" s="34">
        <f t="shared" si="85"/>
        <v>9100000</v>
      </c>
    </row>
    <row r="621" spans="1:24">
      <c r="A621" t="s">
        <v>719</v>
      </c>
      <c r="B621" t="s">
        <v>716</v>
      </c>
      <c r="C621" t="s">
        <v>716</v>
      </c>
      <c r="D621" s="6" t="s">
        <v>305</v>
      </c>
      <c r="E621">
        <f t="shared" ca="1" si="78"/>
        <v>29</v>
      </c>
      <c r="F621" s="20">
        <v>35516</v>
      </c>
      <c r="G621" s="20">
        <v>44580</v>
      </c>
      <c r="H621" s="20">
        <v>46752</v>
      </c>
      <c r="I621" s="17">
        <v>500000</v>
      </c>
      <c r="J621" t="s">
        <v>352</v>
      </c>
      <c r="K621" s="6" t="s">
        <v>492</v>
      </c>
      <c r="L621">
        <v>1</v>
      </c>
      <c r="M621">
        <v>14</v>
      </c>
      <c r="N621" s="17">
        <v>22000000</v>
      </c>
      <c r="O621" s="24">
        <f t="shared" si="79"/>
        <v>77000000</v>
      </c>
      <c r="P621" t="s">
        <v>493</v>
      </c>
      <c r="Q621">
        <f t="shared" ca="1" si="80"/>
        <v>120000</v>
      </c>
      <c r="R621" t="s">
        <v>506</v>
      </c>
      <c r="S621">
        <v>1.88</v>
      </c>
      <c r="T621" s="20">
        <f t="shared" ca="1" si="81"/>
        <v>46296</v>
      </c>
      <c r="U621">
        <f t="shared" ca="1" si="86"/>
        <v>456</v>
      </c>
      <c r="V621" t="str">
        <f t="shared" ca="1" si="82"/>
        <v>Com Contrato em vigor</v>
      </c>
      <c r="W621" s="34">
        <f t="shared" si="84"/>
        <v>3000000</v>
      </c>
      <c r="X621" s="34">
        <f t="shared" si="85"/>
        <v>6500000</v>
      </c>
    </row>
    <row r="622" spans="1:24">
      <c r="A622" t="s">
        <v>720</v>
      </c>
      <c r="B622" t="s">
        <v>716</v>
      </c>
      <c r="C622" t="s">
        <v>716</v>
      </c>
      <c r="D622" s="6" t="s">
        <v>305</v>
      </c>
      <c r="E622">
        <f t="shared" ca="1" si="78"/>
        <v>33</v>
      </c>
      <c r="F622" s="20">
        <v>34099</v>
      </c>
      <c r="G622" s="20">
        <v>44800</v>
      </c>
      <c r="H622" s="20">
        <v>46387</v>
      </c>
      <c r="I622" s="17">
        <v>450000</v>
      </c>
      <c r="J622" t="s">
        <v>401</v>
      </c>
      <c r="K622" s="6" t="s">
        <v>492</v>
      </c>
      <c r="L622">
        <v>1</v>
      </c>
      <c r="M622">
        <v>21</v>
      </c>
      <c r="N622" s="17">
        <v>6000000</v>
      </c>
      <c r="O622" s="24">
        <f t="shared" si="79"/>
        <v>21000000</v>
      </c>
      <c r="P622" t="s">
        <v>493</v>
      </c>
      <c r="Q622">
        <f t="shared" ca="1" si="80"/>
        <v>100000</v>
      </c>
      <c r="R622" t="s">
        <v>503</v>
      </c>
      <c r="S622">
        <v>1.88</v>
      </c>
      <c r="T622" s="20">
        <f t="shared" ca="1" si="81"/>
        <v>46296</v>
      </c>
      <c r="U622">
        <f t="shared" ca="1" si="86"/>
        <v>91</v>
      </c>
      <c r="V622" t="str">
        <f t="shared" ca="1" si="82"/>
        <v>Pre contrato</v>
      </c>
      <c r="W622" s="34">
        <f t="shared" si="84"/>
        <v>2700000</v>
      </c>
      <c r="X622" s="34">
        <f t="shared" si="85"/>
        <v>5850000</v>
      </c>
    </row>
    <row r="623" spans="1:24">
      <c r="A623" t="s">
        <v>721</v>
      </c>
      <c r="B623" t="s">
        <v>716</v>
      </c>
      <c r="C623" t="s">
        <v>716</v>
      </c>
      <c r="D623" s="6" t="s">
        <v>305</v>
      </c>
      <c r="E623">
        <f t="shared" ca="1" si="78"/>
        <v>20</v>
      </c>
      <c r="F623" s="20">
        <v>38729</v>
      </c>
      <c r="G623" s="20">
        <v>45531</v>
      </c>
      <c r="H623" s="20">
        <v>46387</v>
      </c>
      <c r="I623" s="17">
        <v>200000</v>
      </c>
      <c r="J623" t="s">
        <v>390</v>
      </c>
      <c r="K623" s="6" t="s">
        <v>492</v>
      </c>
      <c r="L623">
        <v>0</v>
      </c>
      <c r="M623">
        <v>0</v>
      </c>
      <c r="N623" s="17">
        <v>62000000</v>
      </c>
      <c r="O623" s="24">
        <f t="shared" si="79"/>
        <v>217000000</v>
      </c>
      <c r="P623" t="s">
        <v>493</v>
      </c>
      <c r="Q623">
        <f t="shared" ca="1" si="80"/>
        <v>160000</v>
      </c>
      <c r="R623" t="s">
        <v>506</v>
      </c>
      <c r="S623">
        <v>1.87</v>
      </c>
      <c r="T623" s="20">
        <f t="shared" ca="1" si="81"/>
        <v>46296</v>
      </c>
      <c r="U623">
        <f t="shared" ca="1" si="86"/>
        <v>91</v>
      </c>
      <c r="V623" t="str">
        <f t="shared" ca="1" si="82"/>
        <v>Pre contrato</v>
      </c>
      <c r="W623" s="34">
        <f t="shared" si="84"/>
        <v>1200000</v>
      </c>
      <c r="X623" s="34">
        <f t="shared" si="85"/>
        <v>2600000</v>
      </c>
    </row>
    <row r="624" spans="1:24">
      <c r="A624" t="s">
        <v>722</v>
      </c>
      <c r="B624" t="s">
        <v>716</v>
      </c>
      <c r="C624" t="s">
        <v>716</v>
      </c>
      <c r="D624" s="6" t="s">
        <v>305</v>
      </c>
      <c r="E624">
        <f t="shared" ca="1" si="78"/>
        <v>24</v>
      </c>
      <c r="F624" s="20">
        <v>37384</v>
      </c>
      <c r="G624" s="20">
        <v>44927</v>
      </c>
      <c r="H624" s="20">
        <v>47118</v>
      </c>
      <c r="I624" s="17">
        <v>120000</v>
      </c>
      <c r="J624" t="s">
        <v>723</v>
      </c>
      <c r="K624" s="6" t="s">
        <v>492</v>
      </c>
      <c r="L624">
        <v>0</v>
      </c>
      <c r="M624">
        <v>0</v>
      </c>
      <c r="N624" s="17">
        <v>4000000</v>
      </c>
      <c r="O624" s="24">
        <f t="shared" si="79"/>
        <v>14000000</v>
      </c>
      <c r="P624" t="s">
        <v>493</v>
      </c>
      <c r="Q624">
        <f t="shared" ca="1" si="80"/>
        <v>160000</v>
      </c>
      <c r="R624" t="s">
        <v>503</v>
      </c>
      <c r="S624">
        <v>1.84</v>
      </c>
      <c r="T624" s="20">
        <f t="shared" ca="1" si="81"/>
        <v>46296</v>
      </c>
      <c r="U624">
        <f t="shared" ca="1" si="86"/>
        <v>822</v>
      </c>
      <c r="V624" t="str">
        <f t="shared" ca="1" si="82"/>
        <v>Com Contrato em vigor</v>
      </c>
      <c r="W624" s="34">
        <f t="shared" si="84"/>
        <v>720000</v>
      </c>
      <c r="X624" s="34">
        <f t="shared" si="85"/>
        <v>1560000</v>
      </c>
    </row>
    <row r="625" spans="1:24">
      <c r="A625" t="s">
        <v>724</v>
      </c>
      <c r="B625" t="s">
        <v>716</v>
      </c>
      <c r="C625" t="s">
        <v>716</v>
      </c>
      <c r="D625" s="6" t="s">
        <v>305</v>
      </c>
      <c r="E625">
        <f t="shared" ca="1" si="78"/>
        <v>28</v>
      </c>
      <c r="F625" s="20">
        <v>36031</v>
      </c>
      <c r="G625" s="20">
        <v>44408</v>
      </c>
      <c r="H625" s="20">
        <v>46387</v>
      </c>
      <c r="I625" s="17">
        <v>600000</v>
      </c>
      <c r="J625" t="s">
        <v>400</v>
      </c>
      <c r="K625" s="6" t="s">
        <v>496</v>
      </c>
      <c r="L625">
        <v>2</v>
      </c>
      <c r="M625">
        <v>123</v>
      </c>
      <c r="N625" s="17">
        <v>32000000</v>
      </c>
      <c r="O625" s="24">
        <f t="shared" si="79"/>
        <v>112000000</v>
      </c>
      <c r="P625" t="s">
        <v>493</v>
      </c>
      <c r="Q625">
        <f t="shared" ca="1" si="80"/>
        <v>120000</v>
      </c>
      <c r="R625" t="s">
        <v>503</v>
      </c>
      <c r="S625">
        <v>1.84</v>
      </c>
      <c r="T625" s="20">
        <f t="shared" ca="1" si="81"/>
        <v>46296</v>
      </c>
      <c r="U625">
        <f t="shared" ca="1" si="86"/>
        <v>91</v>
      </c>
      <c r="V625" t="str">
        <f t="shared" ca="1" si="82"/>
        <v>Pre contrato</v>
      </c>
      <c r="W625" s="34">
        <f t="shared" si="84"/>
        <v>3600000</v>
      </c>
      <c r="X625" s="34">
        <f t="shared" si="85"/>
        <v>7800000</v>
      </c>
    </row>
    <row r="626" spans="1:24">
      <c r="A626" t="s">
        <v>725</v>
      </c>
      <c r="B626" t="s">
        <v>716</v>
      </c>
      <c r="C626" t="s">
        <v>716</v>
      </c>
      <c r="D626" s="6" t="s">
        <v>305</v>
      </c>
      <c r="E626">
        <f t="shared" ca="1" si="78"/>
        <v>28</v>
      </c>
      <c r="F626" s="20">
        <v>35926</v>
      </c>
      <c r="G626" s="20">
        <v>45296</v>
      </c>
      <c r="H626" s="20">
        <v>47118</v>
      </c>
      <c r="I626" s="17">
        <v>650000</v>
      </c>
      <c r="J626" t="s">
        <v>429</v>
      </c>
      <c r="K626" s="6" t="s">
        <v>496</v>
      </c>
      <c r="L626">
        <v>0</v>
      </c>
      <c r="M626">
        <v>0</v>
      </c>
      <c r="N626" s="17">
        <v>10000000</v>
      </c>
      <c r="O626" s="24">
        <f t="shared" si="79"/>
        <v>35000000</v>
      </c>
      <c r="P626" t="s">
        <v>497</v>
      </c>
      <c r="Q626">
        <f t="shared" ca="1" si="80"/>
        <v>120000</v>
      </c>
      <c r="R626" t="s">
        <v>506</v>
      </c>
      <c r="S626">
        <v>1.84</v>
      </c>
      <c r="T626" s="20">
        <f t="shared" ca="1" si="81"/>
        <v>46296</v>
      </c>
      <c r="U626">
        <f t="shared" ca="1" si="86"/>
        <v>822</v>
      </c>
      <c r="V626" t="str">
        <f t="shared" ca="1" si="82"/>
        <v>Com Contrato em vigor</v>
      </c>
      <c r="W626" s="34">
        <f t="shared" si="84"/>
        <v>3900000</v>
      </c>
      <c r="X626" s="34">
        <f t="shared" si="85"/>
        <v>8450000</v>
      </c>
    </row>
    <row r="627" spans="1:24">
      <c r="A627" t="s">
        <v>726</v>
      </c>
      <c r="B627" t="s">
        <v>716</v>
      </c>
      <c r="C627" t="s">
        <v>716</v>
      </c>
      <c r="D627" s="6" t="s">
        <v>305</v>
      </c>
      <c r="E627">
        <f t="shared" ca="1" si="78"/>
        <v>24</v>
      </c>
      <c r="F627" s="20">
        <v>37506</v>
      </c>
      <c r="G627" s="20">
        <v>44562</v>
      </c>
      <c r="H627" s="20">
        <v>47118</v>
      </c>
      <c r="I627" s="17">
        <v>350000</v>
      </c>
      <c r="J627" t="s">
        <v>379</v>
      </c>
      <c r="K627" s="6" t="s">
        <v>496</v>
      </c>
      <c r="L627">
        <v>0</v>
      </c>
      <c r="M627">
        <v>0</v>
      </c>
      <c r="N627" s="17">
        <v>15000000</v>
      </c>
      <c r="O627" s="24">
        <f t="shared" si="79"/>
        <v>52500000</v>
      </c>
      <c r="P627" t="s">
        <v>497</v>
      </c>
      <c r="Q627">
        <f t="shared" ca="1" si="80"/>
        <v>160000</v>
      </c>
      <c r="R627" t="s">
        <v>505</v>
      </c>
      <c r="S627">
        <v>1.83</v>
      </c>
      <c r="T627" s="20">
        <f t="shared" ca="1" si="81"/>
        <v>46296</v>
      </c>
      <c r="U627">
        <f t="shared" ca="1" si="86"/>
        <v>822</v>
      </c>
      <c r="V627" t="str">
        <f t="shared" ca="1" si="82"/>
        <v>Com Contrato em vigor</v>
      </c>
      <c r="W627" s="34">
        <f t="shared" si="84"/>
        <v>2100000</v>
      </c>
      <c r="X627" s="34">
        <f t="shared" si="85"/>
        <v>4550000</v>
      </c>
    </row>
    <row r="628" spans="1:24">
      <c r="A628" t="s">
        <v>727</v>
      </c>
      <c r="B628" t="s">
        <v>716</v>
      </c>
      <c r="C628" t="s">
        <v>716</v>
      </c>
      <c r="D628" s="6" t="s">
        <v>342</v>
      </c>
      <c r="E628">
        <f t="shared" ca="1" si="78"/>
        <v>22</v>
      </c>
      <c r="F628" s="20">
        <v>38002</v>
      </c>
      <c r="G628" s="20">
        <v>45483</v>
      </c>
      <c r="H628" s="20">
        <v>47483</v>
      </c>
      <c r="I628" s="17">
        <v>450000</v>
      </c>
      <c r="J628" t="s">
        <v>728</v>
      </c>
      <c r="K628" s="6" t="s">
        <v>498</v>
      </c>
      <c r="L628">
        <v>0</v>
      </c>
      <c r="M628">
        <v>0</v>
      </c>
      <c r="N628" s="17">
        <v>26000000</v>
      </c>
      <c r="O628" s="24">
        <f t="shared" si="79"/>
        <v>91000000</v>
      </c>
      <c r="P628" t="s">
        <v>493</v>
      </c>
      <c r="Q628">
        <f t="shared" ca="1" si="80"/>
        <v>160000</v>
      </c>
      <c r="R628" t="s">
        <v>505</v>
      </c>
      <c r="S628">
        <v>1.8</v>
      </c>
      <c r="T628" s="20">
        <f t="shared" ca="1" si="81"/>
        <v>46296</v>
      </c>
      <c r="U628">
        <f t="shared" ca="1" si="86"/>
        <v>1187</v>
      </c>
      <c r="V628" t="str">
        <f t="shared" ca="1" si="82"/>
        <v>Com Contrato em vigor</v>
      </c>
      <c r="W628" s="34">
        <f t="shared" si="84"/>
        <v>2700000</v>
      </c>
      <c r="X628" s="34">
        <f t="shared" si="85"/>
        <v>5850000</v>
      </c>
    </row>
    <row r="629" spans="1:24">
      <c r="A629" t="s">
        <v>729</v>
      </c>
      <c r="B629" t="s">
        <v>716</v>
      </c>
      <c r="C629" t="s">
        <v>716</v>
      </c>
      <c r="D629" s="6" t="s">
        <v>305</v>
      </c>
      <c r="E629">
        <f t="shared" ca="1" si="78"/>
        <v>37</v>
      </c>
      <c r="F629" s="20">
        <v>32488</v>
      </c>
      <c r="G629" s="20">
        <v>43466</v>
      </c>
      <c r="H629" s="20">
        <v>46022</v>
      </c>
      <c r="I629" s="17">
        <v>550000</v>
      </c>
      <c r="J629" t="s">
        <v>357</v>
      </c>
      <c r="K629" s="6" t="s">
        <v>498</v>
      </c>
      <c r="L629">
        <v>2</v>
      </c>
      <c r="M629">
        <v>41</v>
      </c>
      <c r="N629" s="17">
        <v>1000000</v>
      </c>
      <c r="O629" s="24">
        <f t="shared" si="79"/>
        <v>3500000</v>
      </c>
      <c r="P629" t="s">
        <v>493</v>
      </c>
      <c r="Q629">
        <f t="shared" ca="1" si="80"/>
        <v>100000</v>
      </c>
      <c r="R629" t="s">
        <v>506</v>
      </c>
      <c r="S629">
        <v>1.76</v>
      </c>
      <c r="T629" s="20">
        <f t="shared" ca="1" si="81"/>
        <v>46296</v>
      </c>
      <c r="U629">
        <f t="shared" ca="1" si="86"/>
        <v>-274</v>
      </c>
      <c r="V629" t="str">
        <f t="shared" ca="1" si="82"/>
        <v>Pre contrato</v>
      </c>
      <c r="W629" s="34">
        <f t="shared" si="84"/>
        <v>3300000</v>
      </c>
      <c r="X629" s="34">
        <f t="shared" si="85"/>
        <v>7150000</v>
      </c>
    </row>
    <row r="630" spans="1:24">
      <c r="A630" t="s">
        <v>730</v>
      </c>
      <c r="B630" t="s">
        <v>716</v>
      </c>
      <c r="C630" t="s">
        <v>716</v>
      </c>
      <c r="D630" s="6" t="s">
        <v>305</v>
      </c>
      <c r="E630">
        <f t="shared" ca="1" si="78"/>
        <v>33</v>
      </c>
      <c r="F630" s="20">
        <v>33918</v>
      </c>
      <c r="G630" s="20">
        <v>43466</v>
      </c>
      <c r="H630" s="20">
        <v>46022</v>
      </c>
      <c r="I630" s="17">
        <v>550000</v>
      </c>
      <c r="J630" t="s">
        <v>347</v>
      </c>
      <c r="K630" s="6" t="s">
        <v>498</v>
      </c>
      <c r="L630">
        <v>1</v>
      </c>
      <c r="M630">
        <v>21</v>
      </c>
      <c r="N630" s="17">
        <v>4500000</v>
      </c>
      <c r="O630" s="24">
        <f t="shared" si="79"/>
        <v>15750000</v>
      </c>
      <c r="P630" t="s">
        <v>493</v>
      </c>
      <c r="Q630">
        <f t="shared" ca="1" si="80"/>
        <v>100000</v>
      </c>
      <c r="R630" t="s">
        <v>505</v>
      </c>
      <c r="S630">
        <v>1.78</v>
      </c>
      <c r="T630" s="20">
        <f t="shared" ca="1" si="81"/>
        <v>46296</v>
      </c>
      <c r="U630">
        <f t="shared" ca="1" si="86"/>
        <v>-274</v>
      </c>
      <c r="V630" t="str">
        <f t="shared" ca="1" si="82"/>
        <v>Pre contrato</v>
      </c>
      <c r="W630" s="34">
        <f t="shared" si="84"/>
        <v>3300000</v>
      </c>
      <c r="X630" s="34">
        <f t="shared" si="85"/>
        <v>7150000</v>
      </c>
    </row>
    <row r="631" spans="1:24">
      <c r="A631" t="s">
        <v>731</v>
      </c>
      <c r="B631" t="s">
        <v>716</v>
      </c>
      <c r="C631" t="s">
        <v>716</v>
      </c>
      <c r="D631" s="6" t="s">
        <v>305</v>
      </c>
      <c r="E631">
        <f t="shared" ca="1" si="78"/>
        <v>24</v>
      </c>
      <c r="F631" s="20">
        <v>37260</v>
      </c>
      <c r="G631" s="20">
        <v>45489</v>
      </c>
      <c r="H631" s="20">
        <v>46752</v>
      </c>
      <c r="I631" s="17">
        <v>250000</v>
      </c>
      <c r="J631" t="s">
        <v>732</v>
      </c>
      <c r="K631" s="6" t="s">
        <v>498</v>
      </c>
      <c r="L631">
        <v>0</v>
      </c>
      <c r="M631">
        <v>0</v>
      </c>
      <c r="N631" s="17">
        <v>5000000</v>
      </c>
      <c r="O631" s="24">
        <f t="shared" si="79"/>
        <v>17500000</v>
      </c>
      <c r="P631" t="s">
        <v>493</v>
      </c>
      <c r="Q631">
        <f t="shared" ca="1" si="80"/>
        <v>160000</v>
      </c>
      <c r="R631" t="s">
        <v>505</v>
      </c>
      <c r="S631">
        <v>1.75</v>
      </c>
      <c r="T631" s="20">
        <f t="shared" ca="1" si="81"/>
        <v>46296</v>
      </c>
      <c r="U631">
        <f t="shared" ca="1" si="86"/>
        <v>456</v>
      </c>
      <c r="V631" t="str">
        <f t="shared" ca="1" si="82"/>
        <v>Com Contrato em vigor</v>
      </c>
      <c r="W631" s="34">
        <f t="shared" si="84"/>
        <v>1500000</v>
      </c>
      <c r="X631" s="34">
        <f t="shared" si="85"/>
        <v>3250000</v>
      </c>
    </row>
    <row r="632" spans="1:24">
      <c r="A632" t="s">
        <v>733</v>
      </c>
      <c r="B632" t="s">
        <v>716</v>
      </c>
      <c r="C632" t="s">
        <v>716</v>
      </c>
      <c r="D632" s="6" t="s">
        <v>342</v>
      </c>
      <c r="E632">
        <f t="shared" ca="1" si="78"/>
        <v>27</v>
      </c>
      <c r="F632" s="20">
        <v>36293</v>
      </c>
      <c r="G632" s="20">
        <v>45292</v>
      </c>
      <c r="H632" s="20">
        <v>47483</v>
      </c>
      <c r="I632" s="17">
        <v>450000</v>
      </c>
      <c r="J632" t="s">
        <v>635</v>
      </c>
      <c r="K632" s="6" t="s">
        <v>494</v>
      </c>
      <c r="L632">
        <v>1</v>
      </c>
      <c r="M632">
        <v>13</v>
      </c>
      <c r="N632" s="17">
        <v>15000000</v>
      </c>
      <c r="O632" s="24">
        <f t="shared" si="79"/>
        <v>52500000</v>
      </c>
      <c r="P632" t="s">
        <v>493</v>
      </c>
      <c r="Q632">
        <f t="shared" ca="1" si="80"/>
        <v>120000</v>
      </c>
      <c r="R632" t="s">
        <v>505</v>
      </c>
      <c r="S632">
        <v>1.77</v>
      </c>
      <c r="T632" s="20">
        <f t="shared" ca="1" si="81"/>
        <v>46296</v>
      </c>
      <c r="U632">
        <f t="shared" ca="1" si="86"/>
        <v>1187</v>
      </c>
      <c r="V632" t="str">
        <f t="shared" ca="1" si="82"/>
        <v>Com Contrato em vigor</v>
      </c>
      <c r="W632" s="34">
        <f t="shared" si="84"/>
        <v>2700000</v>
      </c>
      <c r="X632" s="34">
        <f t="shared" si="85"/>
        <v>5850000</v>
      </c>
    </row>
    <row r="633" spans="1:24">
      <c r="A633" t="s">
        <v>734</v>
      </c>
      <c r="B633" t="s">
        <v>716</v>
      </c>
      <c r="C633" t="s">
        <v>716</v>
      </c>
      <c r="D633" s="6" t="s">
        <v>305</v>
      </c>
      <c r="E633">
        <f t="shared" ca="1" si="78"/>
        <v>24</v>
      </c>
      <c r="F633" s="20">
        <v>37355</v>
      </c>
      <c r="G633" s="20">
        <v>44562</v>
      </c>
      <c r="H633" s="20">
        <v>46752</v>
      </c>
      <c r="I633" s="17">
        <v>150000</v>
      </c>
      <c r="J633" t="s">
        <v>723</v>
      </c>
      <c r="K633" s="6" t="s">
        <v>494</v>
      </c>
      <c r="L633">
        <v>0</v>
      </c>
      <c r="M633">
        <v>0</v>
      </c>
      <c r="N633" s="17">
        <v>15000000</v>
      </c>
      <c r="O633" s="24">
        <f t="shared" si="79"/>
        <v>52500000</v>
      </c>
      <c r="P633" t="s">
        <v>493</v>
      </c>
      <c r="Q633">
        <f t="shared" ca="1" si="80"/>
        <v>160000</v>
      </c>
      <c r="R633" t="s">
        <v>503</v>
      </c>
      <c r="S633">
        <v>1.78</v>
      </c>
      <c r="T633" s="20">
        <f t="shared" ca="1" si="81"/>
        <v>46296</v>
      </c>
      <c r="U633">
        <f t="shared" ca="1" si="86"/>
        <v>456</v>
      </c>
      <c r="V633" t="str">
        <f t="shared" ca="1" si="82"/>
        <v>Com Contrato em vigor</v>
      </c>
      <c r="W633" s="34">
        <f t="shared" si="84"/>
        <v>900000</v>
      </c>
      <c r="X633" s="34">
        <f t="shared" si="85"/>
        <v>1950000</v>
      </c>
    </row>
    <row r="634" spans="1:24">
      <c r="A634" t="s">
        <v>735</v>
      </c>
      <c r="B634" t="s">
        <v>716</v>
      </c>
      <c r="C634" t="s">
        <v>716</v>
      </c>
      <c r="D634" s="6" t="s">
        <v>305</v>
      </c>
      <c r="E634">
        <f t="shared" ca="1" si="78"/>
        <v>26</v>
      </c>
      <c r="F634" s="20">
        <v>36798</v>
      </c>
      <c r="G634" s="20">
        <v>43831</v>
      </c>
      <c r="H634" s="20">
        <v>46387</v>
      </c>
      <c r="I634" s="17">
        <v>500000</v>
      </c>
      <c r="J634" t="s">
        <v>346</v>
      </c>
      <c r="K634" s="6" t="s">
        <v>494</v>
      </c>
      <c r="L634">
        <v>0</v>
      </c>
      <c r="M634">
        <v>0</v>
      </c>
      <c r="N634" s="17">
        <v>12000000</v>
      </c>
      <c r="O634" s="24">
        <f t="shared" si="79"/>
        <v>42000000</v>
      </c>
      <c r="P634" t="s">
        <v>493</v>
      </c>
      <c r="Q634">
        <f t="shared" ca="1" si="80"/>
        <v>120000</v>
      </c>
      <c r="R634" t="s">
        <v>503</v>
      </c>
      <c r="S634">
        <v>1.76</v>
      </c>
      <c r="T634" s="20">
        <f t="shared" ca="1" si="81"/>
        <v>46296</v>
      </c>
      <c r="U634">
        <f t="shared" ca="1" si="86"/>
        <v>91</v>
      </c>
      <c r="V634" t="str">
        <f t="shared" ca="1" si="82"/>
        <v>Pre contrato</v>
      </c>
      <c r="W634" s="34">
        <f t="shared" si="84"/>
        <v>3000000</v>
      </c>
      <c r="X634" s="34">
        <f t="shared" si="85"/>
        <v>6500000</v>
      </c>
    </row>
    <row r="635" spans="1:24">
      <c r="A635" t="s">
        <v>736</v>
      </c>
      <c r="B635" t="s">
        <v>716</v>
      </c>
      <c r="C635" t="s">
        <v>716</v>
      </c>
      <c r="D635" s="6" t="s">
        <v>305</v>
      </c>
      <c r="E635">
        <f t="shared" ca="1" si="78"/>
        <v>33</v>
      </c>
      <c r="F635" s="20">
        <v>34136</v>
      </c>
      <c r="G635" s="20">
        <v>43466</v>
      </c>
      <c r="H635" s="20">
        <v>46387</v>
      </c>
      <c r="I635" s="17">
        <v>600000</v>
      </c>
      <c r="J635" t="s">
        <v>352</v>
      </c>
      <c r="K635" s="6" t="s">
        <v>494</v>
      </c>
      <c r="L635">
        <v>1</v>
      </c>
      <c r="M635">
        <v>35</v>
      </c>
      <c r="N635" s="17">
        <v>4000000</v>
      </c>
      <c r="O635" s="24">
        <f t="shared" si="79"/>
        <v>14000000</v>
      </c>
      <c r="P635" t="s">
        <v>493</v>
      </c>
      <c r="Q635">
        <f t="shared" ca="1" si="80"/>
        <v>100000</v>
      </c>
      <c r="R635" t="s">
        <v>506</v>
      </c>
      <c r="S635">
        <v>1.75</v>
      </c>
      <c r="T635" s="20">
        <f t="shared" ca="1" si="81"/>
        <v>46296</v>
      </c>
      <c r="U635">
        <f t="shared" ca="1" si="86"/>
        <v>91</v>
      </c>
      <c r="V635" t="str">
        <f t="shared" ca="1" si="82"/>
        <v>Pre contrato</v>
      </c>
      <c r="W635" s="34">
        <f t="shared" si="84"/>
        <v>3600000</v>
      </c>
      <c r="X635" s="34">
        <f t="shared" si="85"/>
        <v>7800000</v>
      </c>
    </row>
    <row r="636" spans="1:24">
      <c r="A636" t="s">
        <v>737</v>
      </c>
      <c r="B636" t="s">
        <v>716</v>
      </c>
      <c r="C636" t="s">
        <v>716</v>
      </c>
      <c r="D636" s="6" t="s">
        <v>318</v>
      </c>
      <c r="E636">
        <f t="shared" ca="1" si="78"/>
        <v>26</v>
      </c>
      <c r="F636" s="20">
        <v>36679</v>
      </c>
      <c r="G636" s="20">
        <v>45013</v>
      </c>
      <c r="H636" s="20">
        <v>47118</v>
      </c>
      <c r="I636" s="17">
        <v>750000</v>
      </c>
      <c r="J636" t="s">
        <v>738</v>
      </c>
      <c r="K636" s="6" t="s">
        <v>494</v>
      </c>
      <c r="L636">
        <v>0</v>
      </c>
      <c r="M636">
        <v>0</v>
      </c>
      <c r="N636" s="17">
        <v>35000000</v>
      </c>
      <c r="O636" s="24">
        <f t="shared" si="79"/>
        <v>122500000</v>
      </c>
      <c r="P636" t="s">
        <v>493</v>
      </c>
      <c r="Q636">
        <f t="shared" ca="1" si="80"/>
        <v>120000</v>
      </c>
      <c r="R636" t="s">
        <v>506</v>
      </c>
      <c r="S636">
        <v>1.87</v>
      </c>
      <c r="T636" s="20">
        <f t="shared" ca="1" si="81"/>
        <v>46296</v>
      </c>
      <c r="U636">
        <f t="shared" ca="1" si="86"/>
        <v>822</v>
      </c>
      <c r="V636" t="str">
        <f t="shared" ca="1" si="82"/>
        <v>Com Contrato em vigor</v>
      </c>
      <c r="W636" s="34">
        <f t="shared" si="84"/>
        <v>4500000</v>
      </c>
      <c r="X636" s="34">
        <f t="shared" si="85"/>
        <v>9750000</v>
      </c>
    </row>
    <row r="637" spans="1:24">
      <c r="A637" t="s">
        <v>739</v>
      </c>
      <c r="B637" t="s">
        <v>716</v>
      </c>
      <c r="C637" t="s">
        <v>716</v>
      </c>
      <c r="D637" s="6" t="s">
        <v>305</v>
      </c>
      <c r="E637">
        <f t="shared" ca="1" si="78"/>
        <v>31</v>
      </c>
      <c r="F637" s="20">
        <v>34869</v>
      </c>
      <c r="G637" s="20">
        <v>42736</v>
      </c>
      <c r="H637" s="20">
        <v>42736</v>
      </c>
      <c r="I637" s="17">
        <v>700000</v>
      </c>
      <c r="J637" s="23" t="s">
        <v>357</v>
      </c>
      <c r="K637" s="6" t="s">
        <v>499</v>
      </c>
      <c r="L637">
        <v>0</v>
      </c>
      <c r="M637">
        <v>0</v>
      </c>
      <c r="N637" s="17">
        <v>20000000</v>
      </c>
      <c r="O637" s="24">
        <f t="shared" si="79"/>
        <v>70000000</v>
      </c>
      <c r="P637" t="s">
        <v>497</v>
      </c>
      <c r="Q637">
        <f t="shared" ca="1" si="80"/>
        <v>100000</v>
      </c>
      <c r="R637" t="s">
        <v>506</v>
      </c>
      <c r="S637">
        <v>1.76</v>
      </c>
      <c r="T637" s="20">
        <f t="shared" ca="1" si="81"/>
        <v>46296</v>
      </c>
      <c r="U637">
        <f t="shared" ca="1" si="86"/>
        <v>-3560</v>
      </c>
      <c r="V637" t="str">
        <f t="shared" ca="1" si="82"/>
        <v>Pre contrato</v>
      </c>
      <c r="W637" s="34">
        <f t="shared" si="84"/>
        <v>4200000</v>
      </c>
      <c r="X637" s="34">
        <f t="shared" si="85"/>
        <v>9100000</v>
      </c>
    </row>
    <row r="638" spans="1:24">
      <c r="A638" t="s">
        <v>740</v>
      </c>
      <c r="B638" t="s">
        <v>716</v>
      </c>
      <c r="C638" t="s">
        <v>716</v>
      </c>
      <c r="D638" s="6" t="s">
        <v>305</v>
      </c>
      <c r="E638">
        <f t="shared" ca="1" si="78"/>
        <v>25</v>
      </c>
      <c r="F638" s="20">
        <v>37064</v>
      </c>
      <c r="G638" s="20">
        <v>45483</v>
      </c>
      <c r="H638" s="20">
        <v>47118</v>
      </c>
      <c r="I638" s="17">
        <v>600000</v>
      </c>
      <c r="J638" t="s">
        <v>357</v>
      </c>
      <c r="K638" s="6" t="s">
        <v>499</v>
      </c>
      <c r="L638">
        <v>0</v>
      </c>
      <c r="M638">
        <v>0</v>
      </c>
      <c r="N638" s="17">
        <v>18000000</v>
      </c>
      <c r="O638" s="24">
        <f t="shared" si="79"/>
        <v>63000000</v>
      </c>
      <c r="P638" t="s">
        <v>493</v>
      </c>
      <c r="Q638">
        <f t="shared" ca="1" si="80"/>
        <v>120000</v>
      </c>
      <c r="R638" t="s">
        <v>506</v>
      </c>
      <c r="S638">
        <v>1.75</v>
      </c>
      <c r="T638" s="20">
        <f t="shared" ca="1" si="81"/>
        <v>46296</v>
      </c>
      <c r="U638">
        <f t="shared" ca="1" si="86"/>
        <v>822</v>
      </c>
      <c r="V638" t="str">
        <f t="shared" ca="1" si="82"/>
        <v>Com Contrato em vigor</v>
      </c>
      <c r="W638" s="34">
        <f t="shared" si="84"/>
        <v>3600000</v>
      </c>
      <c r="X638" s="34">
        <f t="shared" si="85"/>
        <v>7800000</v>
      </c>
    </row>
    <row r="639" spans="1:24">
      <c r="A639" t="s">
        <v>741</v>
      </c>
      <c r="B639" t="s">
        <v>716</v>
      </c>
      <c r="C639" t="s">
        <v>716</v>
      </c>
      <c r="D639" s="6" t="s">
        <v>305</v>
      </c>
      <c r="E639">
        <f t="shared" ca="1" si="78"/>
        <v>24</v>
      </c>
      <c r="F639" s="20">
        <v>37171</v>
      </c>
      <c r="G639" s="22">
        <v>45383</v>
      </c>
      <c r="H639" s="20">
        <v>47118</v>
      </c>
      <c r="I639" s="17">
        <v>250000</v>
      </c>
      <c r="J639" t="s">
        <v>742</v>
      </c>
      <c r="K639" s="6" t="s">
        <v>499</v>
      </c>
      <c r="L639">
        <v>0</v>
      </c>
      <c r="M639">
        <v>0</v>
      </c>
      <c r="N639" s="17">
        <v>7000000</v>
      </c>
      <c r="O639" s="24">
        <f t="shared" si="79"/>
        <v>24500000</v>
      </c>
      <c r="P639" t="s">
        <v>493</v>
      </c>
      <c r="Q639">
        <f t="shared" ca="1" si="80"/>
        <v>160000</v>
      </c>
      <c r="R639" t="s">
        <v>505</v>
      </c>
      <c r="S639">
        <v>1.77</v>
      </c>
      <c r="T639" s="20">
        <f t="shared" ca="1" si="81"/>
        <v>46296</v>
      </c>
      <c r="U639">
        <f t="shared" ca="1" si="86"/>
        <v>822</v>
      </c>
      <c r="V639" t="str">
        <f t="shared" ca="1" si="82"/>
        <v>Com Contrato em vigor</v>
      </c>
      <c r="W639" s="34">
        <f t="shared" si="84"/>
        <v>1500000</v>
      </c>
      <c r="X639" s="34">
        <f t="shared" si="85"/>
        <v>3250000</v>
      </c>
    </row>
    <row r="640" spans="1:24">
      <c r="A640" t="s">
        <v>743</v>
      </c>
      <c r="B640" t="s">
        <v>716</v>
      </c>
      <c r="C640" t="s">
        <v>716</v>
      </c>
      <c r="D640" s="6" t="s">
        <v>342</v>
      </c>
      <c r="E640">
        <f t="shared" ca="1" si="78"/>
        <v>25</v>
      </c>
      <c r="F640" s="20">
        <v>36866</v>
      </c>
      <c r="G640" s="20">
        <v>44760</v>
      </c>
      <c r="H640" s="20">
        <v>46752</v>
      </c>
      <c r="I640" s="17">
        <v>500000</v>
      </c>
      <c r="J640" t="s">
        <v>485</v>
      </c>
      <c r="K640" s="6" t="s">
        <v>500</v>
      </c>
      <c r="L640">
        <v>0</v>
      </c>
      <c r="M640">
        <v>0</v>
      </c>
      <c r="N640" s="17">
        <v>13000000</v>
      </c>
      <c r="O640" s="24">
        <f t="shared" si="79"/>
        <v>45500000</v>
      </c>
      <c r="P640" t="s">
        <v>497</v>
      </c>
      <c r="Q640">
        <f t="shared" ca="1" si="80"/>
        <v>120000</v>
      </c>
      <c r="R640" t="s">
        <v>505</v>
      </c>
      <c r="S640">
        <v>1.9</v>
      </c>
      <c r="T640" s="20">
        <f t="shared" ca="1" si="81"/>
        <v>46296</v>
      </c>
      <c r="U640">
        <f t="shared" ca="1" si="86"/>
        <v>456</v>
      </c>
      <c r="V640" t="str">
        <f t="shared" ca="1" si="82"/>
        <v>Com Contrato em vigor</v>
      </c>
      <c r="W640" s="34">
        <f t="shared" si="84"/>
        <v>3000000</v>
      </c>
      <c r="X640" s="34">
        <f t="shared" si="85"/>
        <v>6500000</v>
      </c>
    </row>
    <row r="641" spans="1:24">
      <c r="A641" t="s">
        <v>744</v>
      </c>
      <c r="B641" t="s">
        <v>716</v>
      </c>
      <c r="C641" t="s">
        <v>716</v>
      </c>
      <c r="D641" s="6" t="s">
        <v>305</v>
      </c>
      <c r="E641">
        <f t="shared" ca="1" si="78"/>
        <v>31</v>
      </c>
      <c r="F641" s="20">
        <v>34830</v>
      </c>
      <c r="G641" s="20">
        <v>43882</v>
      </c>
      <c r="H641" s="20">
        <v>46387</v>
      </c>
      <c r="I641" s="17">
        <v>860000</v>
      </c>
      <c r="J641" t="s">
        <v>348</v>
      </c>
      <c r="K641" s="6" t="s">
        <v>500</v>
      </c>
      <c r="L641">
        <v>0</v>
      </c>
      <c r="M641">
        <v>0</v>
      </c>
      <c r="N641" s="17">
        <v>6000000</v>
      </c>
      <c r="O641" s="24">
        <f t="shared" si="79"/>
        <v>21000000</v>
      </c>
      <c r="P641" t="s">
        <v>493</v>
      </c>
      <c r="Q641">
        <f t="shared" ca="1" si="80"/>
        <v>100000</v>
      </c>
      <c r="R641" t="s">
        <v>745</v>
      </c>
      <c r="S641">
        <v>1.67</v>
      </c>
      <c r="T641" s="20">
        <f t="shared" ca="1" si="81"/>
        <v>46296</v>
      </c>
      <c r="U641">
        <f t="shared" ca="1" si="86"/>
        <v>91</v>
      </c>
      <c r="V641" t="str">
        <f t="shared" ca="1" si="82"/>
        <v>Pre contrato</v>
      </c>
      <c r="W641" s="34">
        <f t="shared" si="84"/>
        <v>5160000</v>
      </c>
      <c r="X641" s="34">
        <f t="shared" si="85"/>
        <v>11180000</v>
      </c>
    </row>
    <row r="642" spans="1:24">
      <c r="A642" t="s">
        <v>746</v>
      </c>
      <c r="B642" t="s">
        <v>716</v>
      </c>
      <c r="C642" t="s">
        <v>716</v>
      </c>
      <c r="D642" s="6" t="s">
        <v>305</v>
      </c>
      <c r="E642">
        <f t="shared" ref="E642:E650" ca="1" si="87">DATEDIF(F642,TODAY(),"Y")</f>
        <v>19</v>
      </c>
      <c r="F642" s="20">
        <v>39196</v>
      </c>
      <c r="G642" s="20">
        <v>45309</v>
      </c>
      <c r="H642" s="20">
        <v>46203</v>
      </c>
      <c r="I642" s="17">
        <v>650000</v>
      </c>
      <c r="J642" t="s">
        <v>348</v>
      </c>
      <c r="K642" s="6" t="s">
        <v>500</v>
      </c>
      <c r="L642">
        <v>0</v>
      </c>
      <c r="M642">
        <v>0</v>
      </c>
      <c r="N642" s="17">
        <v>86000000</v>
      </c>
      <c r="O642" s="24">
        <f t="shared" ref="O642:O650" si="88">N642*3.5</f>
        <v>301000000</v>
      </c>
      <c r="P642" t="s">
        <v>497</v>
      </c>
      <c r="Q642">
        <f t="shared" ca="1" si="80"/>
        <v>160000</v>
      </c>
      <c r="R642" t="s">
        <v>506</v>
      </c>
      <c r="S642">
        <v>1.76</v>
      </c>
      <c r="T642" s="20">
        <f t="shared" ca="1" si="81"/>
        <v>46296</v>
      </c>
      <c r="U642">
        <f t="shared" ca="1" si="86"/>
        <v>-93</v>
      </c>
      <c r="V642" t="str">
        <f t="shared" ref="V642:V649" ca="1" si="89">IF(U642&lt;180, "Pre contrato","Com Contrato em vigor")</f>
        <v>Pre contrato</v>
      </c>
      <c r="W642" s="34">
        <f t="shared" si="84"/>
        <v>3900000</v>
      </c>
      <c r="X642" s="34">
        <f t="shared" si="85"/>
        <v>8450000</v>
      </c>
    </row>
    <row r="643" spans="1:24">
      <c r="A643" t="s">
        <v>747</v>
      </c>
      <c r="B643" t="s">
        <v>716</v>
      </c>
      <c r="C643" t="s">
        <v>716</v>
      </c>
      <c r="D643" s="6" t="s">
        <v>305</v>
      </c>
      <c r="E643">
        <f t="shared" ca="1" si="87"/>
        <v>29</v>
      </c>
      <c r="F643" s="22">
        <v>35496</v>
      </c>
      <c r="G643" s="20">
        <v>45292</v>
      </c>
      <c r="H643" s="20">
        <v>47118</v>
      </c>
      <c r="I643" s="17">
        <v>500000</v>
      </c>
      <c r="J643" s="23" t="s">
        <v>429</v>
      </c>
      <c r="K643" s="6" t="s">
        <v>500</v>
      </c>
      <c r="L643">
        <v>1</v>
      </c>
      <c r="M643">
        <v>350</v>
      </c>
      <c r="N643" s="17">
        <v>3000000</v>
      </c>
      <c r="O643" s="24">
        <f t="shared" si="88"/>
        <v>10500000</v>
      </c>
      <c r="P643" t="s">
        <v>493</v>
      </c>
      <c r="Q643">
        <f t="shared" ca="1" si="80"/>
        <v>120000</v>
      </c>
      <c r="R643" t="s">
        <v>506</v>
      </c>
      <c r="S643">
        <v>1.77</v>
      </c>
      <c r="T643" s="20">
        <f t="shared" ca="1" si="81"/>
        <v>46296</v>
      </c>
      <c r="U643">
        <f t="shared" ref="U643:U649" ca="1" si="90">_xlfn.DAYS(H643,T643)</f>
        <v>822</v>
      </c>
      <c r="V643" t="str">
        <f t="shared" ca="1" si="89"/>
        <v>Com Contrato em vigor</v>
      </c>
      <c r="W643" s="34">
        <f t="shared" ref="W643:W650" si="91">I643*6</f>
        <v>3000000</v>
      </c>
      <c r="X643" s="34">
        <f t="shared" ref="X643:X650" si="92">I643*13</f>
        <v>6500000</v>
      </c>
    </row>
    <row r="644" spans="1:24">
      <c r="A644" t="s">
        <v>748</v>
      </c>
      <c r="B644" t="s">
        <v>716</v>
      </c>
      <c r="C644" t="s">
        <v>716</v>
      </c>
      <c r="D644" s="6" t="s">
        <v>305</v>
      </c>
      <c r="E644">
        <f t="shared" ca="1" si="87"/>
        <v>24</v>
      </c>
      <c r="F644" s="20">
        <v>37327</v>
      </c>
      <c r="G644" s="20">
        <v>44805</v>
      </c>
      <c r="H644" s="20">
        <v>46934</v>
      </c>
      <c r="I644" s="17">
        <v>550000</v>
      </c>
      <c r="J644" t="s">
        <v>352</v>
      </c>
      <c r="K644" s="6" t="s">
        <v>500</v>
      </c>
      <c r="L644">
        <v>0</v>
      </c>
      <c r="M644">
        <v>0</v>
      </c>
      <c r="N644" s="17">
        <v>4500000</v>
      </c>
      <c r="O644" s="24">
        <f t="shared" si="88"/>
        <v>15750000</v>
      </c>
      <c r="P644" t="s">
        <v>493</v>
      </c>
      <c r="Q644">
        <f t="shared" ca="1" si="80"/>
        <v>160000</v>
      </c>
      <c r="R644" t="s">
        <v>506</v>
      </c>
      <c r="S644">
        <v>1.81</v>
      </c>
      <c r="T644" s="20">
        <f t="shared" ca="1" si="81"/>
        <v>46296</v>
      </c>
      <c r="U644">
        <f t="shared" ca="1" si="90"/>
        <v>638</v>
      </c>
      <c r="V644" t="str">
        <f t="shared" ca="1" si="89"/>
        <v>Com Contrato em vigor</v>
      </c>
      <c r="W644" s="34">
        <f t="shared" si="91"/>
        <v>3300000</v>
      </c>
      <c r="X644" s="34">
        <f t="shared" si="92"/>
        <v>7150000</v>
      </c>
    </row>
    <row r="645" spans="1:24">
      <c r="A645" t="s">
        <v>749</v>
      </c>
      <c r="B645" t="s">
        <v>716</v>
      </c>
      <c r="C645" t="s">
        <v>716</v>
      </c>
      <c r="D645" s="6" t="s">
        <v>305</v>
      </c>
      <c r="E645">
        <f t="shared" ca="1" si="87"/>
        <v>34</v>
      </c>
      <c r="F645" s="20">
        <v>33610</v>
      </c>
      <c r="G645" s="20">
        <v>45658</v>
      </c>
      <c r="H645" s="20">
        <v>46752</v>
      </c>
      <c r="I645" s="17">
        <v>1200000</v>
      </c>
      <c r="J645" t="s">
        <v>357</v>
      </c>
      <c r="K645" s="6" t="s">
        <v>500</v>
      </c>
      <c r="L645">
        <v>1</v>
      </c>
      <c r="M645">
        <v>102</v>
      </c>
      <c r="N645" s="17">
        <v>6000000</v>
      </c>
      <c r="O645" s="24">
        <f t="shared" si="88"/>
        <v>21000000</v>
      </c>
      <c r="P645" t="s">
        <v>493</v>
      </c>
      <c r="Q645">
        <f t="shared" ca="1" si="80"/>
        <v>100000</v>
      </c>
      <c r="R645" t="s">
        <v>506</v>
      </c>
      <c r="S645">
        <v>1.66</v>
      </c>
      <c r="T645" s="20">
        <f t="shared" ca="1" si="81"/>
        <v>46296</v>
      </c>
      <c r="U645">
        <f t="shared" ca="1" si="90"/>
        <v>456</v>
      </c>
      <c r="V645" t="str">
        <f t="shared" ca="1" si="89"/>
        <v>Com Contrato em vigor</v>
      </c>
      <c r="W645" s="34">
        <f t="shared" si="91"/>
        <v>7200000</v>
      </c>
      <c r="X645" s="34">
        <f t="shared" si="92"/>
        <v>15600000</v>
      </c>
    </row>
    <row r="646" spans="1:24">
      <c r="A646" t="s">
        <v>750</v>
      </c>
      <c r="B646" t="s">
        <v>716</v>
      </c>
      <c r="C646" t="s">
        <v>716</v>
      </c>
      <c r="D646" s="6" t="s">
        <v>305</v>
      </c>
      <c r="E646">
        <f t="shared" ca="1" si="87"/>
        <v>33</v>
      </c>
      <c r="F646" s="20">
        <v>34074</v>
      </c>
      <c r="G646" s="20">
        <v>45474</v>
      </c>
      <c r="H646" s="20">
        <v>46752</v>
      </c>
      <c r="I646" s="17">
        <v>1200000</v>
      </c>
      <c r="J646" t="s">
        <v>751</v>
      </c>
      <c r="K646" s="6" t="s">
        <v>500</v>
      </c>
      <c r="L646">
        <v>0</v>
      </c>
      <c r="M646">
        <v>0</v>
      </c>
      <c r="N646" s="17">
        <v>12000000</v>
      </c>
      <c r="O646" s="24">
        <f t="shared" si="88"/>
        <v>42000000</v>
      </c>
      <c r="P646" t="s">
        <v>493</v>
      </c>
      <c r="Q646">
        <f t="shared" ca="1" si="80"/>
        <v>100000</v>
      </c>
      <c r="R646" t="s">
        <v>506</v>
      </c>
      <c r="S646">
        <v>1.75</v>
      </c>
      <c r="T646" s="20">
        <f t="shared" ca="1" si="81"/>
        <v>46296</v>
      </c>
      <c r="U646">
        <f t="shared" ca="1" si="90"/>
        <v>456</v>
      </c>
      <c r="V646" t="str">
        <f t="shared" ca="1" si="89"/>
        <v>Com Contrato em vigor</v>
      </c>
      <c r="W646" s="34">
        <f t="shared" si="91"/>
        <v>7200000</v>
      </c>
      <c r="X646" s="34">
        <f t="shared" si="92"/>
        <v>15600000</v>
      </c>
    </row>
    <row r="647" spans="1:24">
      <c r="A647" t="s">
        <v>1022</v>
      </c>
      <c r="B647" t="s">
        <v>304</v>
      </c>
      <c r="C647" t="s">
        <v>304</v>
      </c>
      <c r="D647" s="6" t="s">
        <v>305</v>
      </c>
      <c r="E647">
        <f t="shared" ca="1" si="87"/>
        <v>22</v>
      </c>
      <c r="F647" s="20">
        <v>38062</v>
      </c>
      <c r="G647" s="20">
        <v>44749</v>
      </c>
      <c r="H647" s="20">
        <v>46387</v>
      </c>
      <c r="I647" s="30">
        <v>250000</v>
      </c>
      <c r="J647" t="s">
        <v>400</v>
      </c>
      <c r="K647" s="6" t="s">
        <v>499</v>
      </c>
      <c r="L647">
        <v>4</v>
      </c>
      <c r="M647">
        <v>168</v>
      </c>
      <c r="N647" s="17">
        <v>5000000</v>
      </c>
      <c r="O647" s="24">
        <f t="shared" si="88"/>
        <v>17500000</v>
      </c>
      <c r="P647" t="s">
        <v>493</v>
      </c>
      <c r="Q647">
        <f t="shared" ca="1" si="80"/>
        <v>160000</v>
      </c>
      <c r="R647" t="s">
        <v>506</v>
      </c>
      <c r="S647">
        <v>1.85</v>
      </c>
      <c r="T647" s="9">
        <f t="shared" ref="T647:T650" ca="1" si="93">TODAY()</f>
        <v>46296</v>
      </c>
      <c r="U647" s="6">
        <f t="shared" ca="1" si="90"/>
        <v>91</v>
      </c>
      <c r="V647" s="6" t="str">
        <f t="shared" ca="1" si="89"/>
        <v>Pre contrato</v>
      </c>
      <c r="W647" s="34">
        <f t="shared" si="91"/>
        <v>1500000</v>
      </c>
      <c r="X647" s="34">
        <f t="shared" si="92"/>
        <v>3250000</v>
      </c>
    </row>
    <row r="648" spans="1:24">
      <c r="A648" s="6" t="s">
        <v>1023</v>
      </c>
      <c r="B648" t="s">
        <v>304</v>
      </c>
      <c r="C648" t="s">
        <v>304</v>
      </c>
      <c r="D648" s="6" t="s">
        <v>305</v>
      </c>
      <c r="E648">
        <f t="shared" ca="1" si="87"/>
        <v>20</v>
      </c>
      <c r="F648" s="20">
        <v>38791</v>
      </c>
      <c r="G648" s="20">
        <v>44749</v>
      </c>
      <c r="H648" s="20">
        <v>46387</v>
      </c>
      <c r="I648" s="32">
        <v>300000</v>
      </c>
      <c r="J648" t="s">
        <v>379</v>
      </c>
      <c r="K648" s="6" t="s">
        <v>500</v>
      </c>
      <c r="L648" s="6">
        <v>0</v>
      </c>
      <c r="M648" s="6">
        <v>0</v>
      </c>
      <c r="N648" s="12">
        <v>50000000</v>
      </c>
      <c r="O648" s="24">
        <f t="shared" si="88"/>
        <v>175000000</v>
      </c>
      <c r="P648" s="6" t="s">
        <v>497</v>
      </c>
      <c r="Q648">
        <f t="shared" ca="1" si="80"/>
        <v>160000</v>
      </c>
      <c r="R648" s="6" t="s">
        <v>506</v>
      </c>
      <c r="S648" s="6">
        <v>1.71</v>
      </c>
      <c r="T648" s="9">
        <f t="shared" ca="1" si="93"/>
        <v>46296</v>
      </c>
      <c r="U648" s="6">
        <f t="shared" ca="1" si="90"/>
        <v>91</v>
      </c>
      <c r="V648" s="6" t="str">
        <f t="shared" ca="1" si="89"/>
        <v>Pre contrato</v>
      </c>
      <c r="W648" s="34">
        <f t="shared" si="91"/>
        <v>1800000</v>
      </c>
      <c r="X648" s="34">
        <f t="shared" si="92"/>
        <v>3900000</v>
      </c>
    </row>
    <row r="649" spans="1:24">
      <c r="A649" s="6" t="s">
        <v>1024</v>
      </c>
      <c r="B649" t="s">
        <v>304</v>
      </c>
      <c r="C649" t="s">
        <v>304</v>
      </c>
      <c r="D649" s="6" t="s">
        <v>305</v>
      </c>
      <c r="E649">
        <f t="shared" ca="1" si="87"/>
        <v>28</v>
      </c>
      <c r="F649" s="20">
        <v>35833</v>
      </c>
      <c r="G649" s="20">
        <v>43101</v>
      </c>
      <c r="H649" s="20">
        <v>45838</v>
      </c>
      <c r="I649" s="32">
        <v>250000</v>
      </c>
      <c r="J649" s="6" t="s">
        <v>357</v>
      </c>
      <c r="K649" s="6" t="s">
        <v>494</v>
      </c>
      <c r="L649" s="6">
        <v>1</v>
      </c>
      <c r="M649" s="6">
        <v>15</v>
      </c>
      <c r="N649" s="12">
        <v>3000000</v>
      </c>
      <c r="O649" s="24">
        <f t="shared" si="88"/>
        <v>10500000</v>
      </c>
      <c r="P649" s="6" t="s">
        <v>497</v>
      </c>
      <c r="Q649">
        <f t="shared" ca="1" si="80"/>
        <v>120000</v>
      </c>
      <c r="R649" s="6" t="s">
        <v>503</v>
      </c>
      <c r="S649" s="6">
        <v>1.77</v>
      </c>
      <c r="T649" s="9">
        <f t="shared" ca="1" si="93"/>
        <v>46296</v>
      </c>
      <c r="U649" s="6">
        <f t="shared" ca="1" si="90"/>
        <v>-458</v>
      </c>
      <c r="V649" s="6" t="str">
        <f t="shared" ca="1" si="89"/>
        <v>Pre contrato</v>
      </c>
      <c r="W649" s="34">
        <f t="shared" si="91"/>
        <v>1500000</v>
      </c>
      <c r="X649" s="34">
        <f t="shared" si="92"/>
        <v>3250000</v>
      </c>
    </row>
    <row r="650" spans="1:24">
      <c r="A650" t="s">
        <v>1025</v>
      </c>
      <c r="B650" t="s">
        <v>304</v>
      </c>
      <c r="C650" t="s">
        <v>304</v>
      </c>
      <c r="D650" s="6" t="s">
        <v>305</v>
      </c>
      <c r="E650">
        <f t="shared" ca="1" si="87"/>
        <v>28</v>
      </c>
      <c r="F650" s="22">
        <v>35795</v>
      </c>
      <c r="G650" s="20">
        <v>45300</v>
      </c>
      <c r="H650" s="20">
        <v>46752</v>
      </c>
      <c r="I650" s="32">
        <v>700000</v>
      </c>
      <c r="J650" t="s">
        <v>1026</v>
      </c>
      <c r="K650" s="6" t="s">
        <v>500</v>
      </c>
      <c r="L650" s="6">
        <v>4</v>
      </c>
      <c r="M650" s="6">
        <v>85</v>
      </c>
      <c r="N650" s="12">
        <v>10000000</v>
      </c>
      <c r="O650" s="24">
        <f t="shared" si="88"/>
        <v>35000000</v>
      </c>
      <c r="P650" s="6" t="s">
        <v>493</v>
      </c>
      <c r="Q650">
        <f t="shared" ca="1" si="80"/>
        <v>120000</v>
      </c>
      <c r="R650" s="6" t="s">
        <v>503</v>
      </c>
      <c r="S650" s="6">
        <v>1.76</v>
      </c>
      <c r="T650" s="9">
        <f t="shared" ca="1" si="93"/>
        <v>46296</v>
      </c>
      <c r="U650" s="6">
        <f t="shared" ref="U650" ca="1" si="94">_xlfn.DAYS(H650,T650)</f>
        <v>456</v>
      </c>
      <c r="V650" s="6" t="str">
        <f t="shared" ref="V650" ca="1" si="95">IF(U650&lt;180, "Pre contrato","Com Contrato em vigor")</f>
        <v>Com Contrato em vigor</v>
      </c>
      <c r="W650" s="34">
        <f t="shared" si="91"/>
        <v>4200000</v>
      </c>
      <c r="X650" s="34">
        <f t="shared" si="92"/>
        <v>9100000</v>
      </c>
    </row>
  </sheetData>
  <autoFilter ref="A1:V650" xr:uid="{A03132C5-F8D9-4EF9-ABB0-0FABF11BD32B}">
    <sortState xmlns:xlrd2="http://schemas.microsoft.com/office/spreadsheetml/2017/richdata2" ref="A2:V646">
      <sortCondition ref="B1:B428"/>
    </sortState>
  </autoFilter>
  <conditionalFormatting sqref="V1:V650 W1:X1">
    <cfRule type="containsText" dxfId="3" priority="1" operator="containsText" text="Com contrato em vigor">
      <formula>NOT(ISERROR(SEARCH("Com contrato em vigor",V1)))</formula>
    </cfRule>
    <cfRule type="cellIs" dxfId="2" priority="4" operator="equal">
      <formula>$V$8</formula>
    </cfRule>
  </conditionalFormatting>
  <conditionalFormatting sqref="V2">
    <cfRule type="containsText" dxfId="1" priority="2" operator="containsText" text="Com Contrato em vigor">
      <formula>NOT(ISERROR(SEARCH("Com Contrato em vigor",V2)))</formula>
    </cfRule>
  </conditionalFormatting>
  <hyperlinks>
    <hyperlink ref="J544" r:id="rId1" display="https://www.transfermarkt.com.br/onsoccer-international-gestao-de-carreiras-desportivas-sa/beraterfirma/berater/661" xr:uid="{FBC93C5F-C72D-4B4F-9A78-E88E292BC374}"/>
  </hyperlinks>
  <pageMargins left="0.511811024" right="0.511811024" top="0.78740157499999996" bottom="0.78740157499999996" header="0.31496062000000002" footer="0.31496062000000002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9F213387-905F-4469-8E8E-D9CB4A37BB2A}">
            <xm:f>NOT(ISERROR(SEARCH($V$2,V2)))</xm:f>
            <xm:f>$V$2</xm:f>
            <x14:dxf>
              <font>
                <color auto="1"/>
              </font>
              <fill>
                <patternFill>
                  <fgColor rgb="FFFFFF00"/>
                </patternFill>
              </fill>
              <border>
                <vertical/>
                <horizontal/>
              </border>
            </x14:dxf>
          </x14:cfRule>
          <xm:sqref>V2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EF04-5BA7-4DAD-A3F3-A7AB7A0A5462}">
  <dimension ref="A1:O21"/>
  <sheetViews>
    <sheetView tabSelected="1" workbookViewId="0">
      <pane xSplit="1" topLeftCell="B1" activePane="topRight" state="frozen"/>
      <selection pane="topRight" activeCell="C1" sqref="C1:C1048576"/>
    </sheetView>
  </sheetViews>
  <sheetFormatPr defaultRowHeight="13.8"/>
  <cols>
    <col min="1" max="1" width="25.59765625"/>
    <col min="3" max="3" width="13.5" bestFit="1" customWidth="1"/>
    <col min="4" max="4" width="14.296875" bestFit="1" customWidth="1"/>
    <col min="5" max="5" width="27.59765625" style="34" bestFit="1" customWidth="1"/>
    <col min="6" max="6" width="26.09765625" style="34" bestFit="1" customWidth="1"/>
    <col min="7" max="7" width="17.796875" bestFit="1" customWidth="1"/>
    <col min="8" max="8" width="21.5" bestFit="1" customWidth="1"/>
    <col min="9" max="9" width="31" bestFit="1" customWidth="1"/>
    <col min="10" max="10" width="17.5" style="38" customWidth="1"/>
    <col min="11" max="11" width="22.3984375" style="37" bestFit="1" customWidth="1"/>
    <col min="12" max="12" width="34.5" bestFit="1" customWidth="1"/>
    <col min="13" max="13" width="33.8984375" bestFit="1" customWidth="1"/>
    <col min="14" max="14" width="23" bestFit="1" customWidth="1"/>
    <col min="15" max="15" width="23.09765625" style="37" customWidth="1"/>
  </cols>
  <sheetData>
    <row r="1" spans="1:15">
      <c r="A1" s="2" t="s">
        <v>949</v>
      </c>
      <c r="B1" t="s">
        <v>950</v>
      </c>
      <c r="C1" t="s">
        <v>970</v>
      </c>
      <c r="D1" t="s">
        <v>951</v>
      </c>
      <c r="E1" s="34" t="s">
        <v>965</v>
      </c>
      <c r="F1" s="34" t="s">
        <v>966</v>
      </c>
      <c r="G1" t="s">
        <v>952</v>
      </c>
      <c r="H1" t="s">
        <v>971</v>
      </c>
      <c r="I1" t="s">
        <v>953</v>
      </c>
      <c r="J1" s="38" t="s">
        <v>963</v>
      </c>
      <c r="K1" s="37" t="s">
        <v>964</v>
      </c>
      <c r="L1" t="s">
        <v>993</v>
      </c>
      <c r="M1" t="s">
        <v>994</v>
      </c>
      <c r="N1" t="s">
        <v>995</v>
      </c>
      <c r="O1" s="37" t="s">
        <v>1029</v>
      </c>
    </row>
    <row r="2" spans="1:15" ht="16.5" customHeight="1">
      <c r="A2" t="s">
        <v>323</v>
      </c>
      <c r="B2" t="s">
        <v>958</v>
      </c>
      <c r="C2">
        <v>0</v>
      </c>
      <c r="D2">
        <v>10</v>
      </c>
      <c r="E2" s="36">
        <f>SUMIF(Atletas!B:B, A2, Atletas!I:I)</f>
        <v>11148000</v>
      </c>
      <c r="F2" s="34">
        <f>SUMIF(Atletas!B:B, A2, Atletas!X:X)</f>
        <v>144924000</v>
      </c>
      <c r="G2">
        <v>1.5</v>
      </c>
      <c r="H2" t="s">
        <v>1021</v>
      </c>
      <c r="I2" s="29">
        <v>40000</v>
      </c>
      <c r="J2" s="38">
        <v>42372</v>
      </c>
      <c r="K2" s="37">
        <v>35.630000000000003</v>
      </c>
      <c r="L2" s="29">
        <v>28310</v>
      </c>
      <c r="M2" s="30">
        <v>1007365.44</v>
      </c>
      <c r="N2" s="30">
        <v>34250425</v>
      </c>
      <c r="O2" s="37">
        <f>100 * 1000000</f>
        <v>100000000</v>
      </c>
    </row>
    <row r="3" spans="1:15">
      <c r="A3" t="s">
        <v>313</v>
      </c>
      <c r="B3" t="s">
        <v>957</v>
      </c>
      <c r="C3">
        <v>0</v>
      </c>
      <c r="D3">
        <v>10</v>
      </c>
      <c r="E3" s="34">
        <f>SUMIF(Atletas!B:B, A3, Atletas!I:I)</f>
        <v>1001267</v>
      </c>
      <c r="F3" s="34">
        <f>SUMIF(Atletas!B:B, A3, Atletas!X:X)</f>
        <v>13016471</v>
      </c>
      <c r="G3">
        <v>0.2</v>
      </c>
      <c r="H3" t="s">
        <v>1016</v>
      </c>
      <c r="I3" s="29">
        <v>7294</v>
      </c>
      <c r="J3" s="38">
        <v>13000</v>
      </c>
      <c r="K3" s="37">
        <v>55.25</v>
      </c>
      <c r="L3" s="29">
        <v>6462</v>
      </c>
      <c r="M3" s="30">
        <v>357038.5</v>
      </c>
      <c r="N3" s="30">
        <v>10711155</v>
      </c>
      <c r="O3" s="37">
        <f xml:space="preserve"> 5 * 1000000</f>
        <v>5000000</v>
      </c>
    </row>
    <row r="4" spans="1:15">
      <c r="A4" t="s">
        <v>343</v>
      </c>
      <c r="B4" t="s">
        <v>954</v>
      </c>
      <c r="C4">
        <v>0</v>
      </c>
      <c r="D4">
        <v>10</v>
      </c>
      <c r="E4" s="34">
        <f>SUMIF(Atletas!B:B, A4, Atletas!I:I)</f>
        <v>2056000</v>
      </c>
      <c r="F4" s="34">
        <f>SUMIF(Atletas!B:B, A4, Atletas!X:X)</f>
        <v>26728000</v>
      </c>
      <c r="G4">
        <v>0.2</v>
      </c>
      <c r="H4" t="s">
        <v>1018</v>
      </c>
      <c r="I4" s="29">
        <v>16000</v>
      </c>
      <c r="J4" s="38">
        <v>19225</v>
      </c>
      <c r="K4" s="37">
        <v>38.32</v>
      </c>
      <c r="L4" s="29">
        <v>12748</v>
      </c>
      <c r="M4" s="30">
        <v>488511</v>
      </c>
      <c r="N4" s="30">
        <v>14655330</v>
      </c>
      <c r="O4" s="37">
        <f xml:space="preserve"> 5* 1000000</f>
        <v>5000000</v>
      </c>
    </row>
    <row r="5" spans="1:15">
      <c r="A5" t="s">
        <v>337</v>
      </c>
      <c r="B5" t="s">
        <v>962</v>
      </c>
      <c r="C5">
        <v>0</v>
      </c>
      <c r="D5">
        <v>15</v>
      </c>
      <c r="E5" s="34">
        <f>SUMIF(Atletas!B:B, A5, Atletas!I:I)</f>
        <v>4684000</v>
      </c>
      <c r="F5" s="34">
        <f>SUMIF(Atletas!B:B, A5, Atletas!X:X)</f>
        <v>60892000</v>
      </c>
      <c r="G5">
        <v>0.4</v>
      </c>
      <c r="H5" t="s">
        <v>1017</v>
      </c>
      <c r="I5" s="29">
        <v>3000</v>
      </c>
      <c r="J5" s="38">
        <v>42968</v>
      </c>
      <c r="K5" s="37">
        <v>63.38</v>
      </c>
      <c r="L5" s="29">
        <v>7572</v>
      </c>
      <c r="M5" s="30">
        <v>267247.06</v>
      </c>
      <c r="N5" s="30">
        <v>9086400</v>
      </c>
      <c r="O5" s="37">
        <f xml:space="preserve"> 5* 1000000</f>
        <v>5000000</v>
      </c>
    </row>
    <row r="6" spans="1:15">
      <c r="A6" t="s">
        <v>931</v>
      </c>
      <c r="B6" t="s">
        <v>961</v>
      </c>
      <c r="C6">
        <v>0</v>
      </c>
      <c r="D6">
        <v>10</v>
      </c>
      <c r="E6" s="34">
        <f>SUMIF(Atletas!B:B, A6, Atletas!I:I)</f>
        <v>2105000</v>
      </c>
      <c r="F6" s="34">
        <f>SUMIF(Atletas!B:B, A6, Atletas!X:X)</f>
        <v>27365000</v>
      </c>
      <c r="G6">
        <v>0.2</v>
      </c>
      <c r="H6" t="s">
        <v>988</v>
      </c>
      <c r="I6" s="29">
        <v>8380</v>
      </c>
      <c r="J6" s="38">
        <v>23726</v>
      </c>
      <c r="K6" s="37">
        <v>50.58</v>
      </c>
      <c r="L6" s="29">
        <v>8654</v>
      </c>
      <c r="M6" s="30">
        <v>437704.23</v>
      </c>
      <c r="N6" s="30">
        <v>13131127</v>
      </c>
      <c r="O6" s="37">
        <f xml:space="preserve"> 10 * 1000000</f>
        <v>10000000</v>
      </c>
    </row>
    <row r="7" spans="1:15">
      <c r="A7" t="s">
        <v>799</v>
      </c>
      <c r="B7" t="s">
        <v>959</v>
      </c>
      <c r="C7">
        <v>0</v>
      </c>
      <c r="D7">
        <v>10</v>
      </c>
      <c r="E7" s="34">
        <f>SUMIF(Atletas!B:B, A7, Atletas!I:I)</f>
        <v>5575000</v>
      </c>
      <c r="F7" s="34">
        <f>SUMIF(Atletas!B:B, A7, Atletas!X:X)</f>
        <v>72475000</v>
      </c>
      <c r="G7">
        <v>3.9</v>
      </c>
      <c r="H7" t="s">
        <v>1019</v>
      </c>
      <c r="I7" s="29">
        <v>40638</v>
      </c>
      <c r="J7" s="38">
        <v>30618</v>
      </c>
      <c r="K7" s="37">
        <v>26.88</v>
      </c>
      <c r="L7" s="29">
        <v>20391</v>
      </c>
      <c r="M7" s="30">
        <v>548119.4</v>
      </c>
      <c r="N7" s="30">
        <v>16443582</v>
      </c>
      <c r="O7" s="37">
        <f xml:space="preserve"> 15* 1000000</f>
        <v>15000000</v>
      </c>
    </row>
    <row r="8" spans="1:15">
      <c r="A8" t="s">
        <v>328</v>
      </c>
      <c r="B8" t="s">
        <v>635</v>
      </c>
      <c r="C8">
        <v>0</v>
      </c>
      <c r="D8">
        <v>10</v>
      </c>
      <c r="E8" s="34">
        <f>SUMIF(Atletas!B:B, A8, Atletas!I:I)</f>
        <v>13474000</v>
      </c>
      <c r="F8" s="34">
        <f>SUMIF(Atletas!B:B, A8, Atletas!X:X)</f>
        <v>175162000</v>
      </c>
      <c r="G8">
        <v>0.2</v>
      </c>
      <c r="H8" t="s">
        <v>1015</v>
      </c>
      <c r="I8" s="29">
        <v>7500</v>
      </c>
      <c r="J8" s="38">
        <v>15010</v>
      </c>
      <c r="K8" s="37">
        <v>43.84</v>
      </c>
      <c r="L8" s="29">
        <v>5987</v>
      </c>
      <c r="M8" s="30">
        <v>243104.14</v>
      </c>
      <c r="N8" s="30">
        <v>8508645</v>
      </c>
      <c r="O8" s="37">
        <f xml:space="preserve"> 40* 1000000</f>
        <v>40000000</v>
      </c>
    </row>
    <row r="9" spans="1:15">
      <c r="A9" t="s">
        <v>542</v>
      </c>
      <c r="B9" t="s">
        <v>960</v>
      </c>
      <c r="C9">
        <v>177</v>
      </c>
      <c r="D9">
        <v>25</v>
      </c>
      <c r="E9" s="34">
        <f>SUMIF(Atletas!B:B, A9, Atletas!I:I)</f>
        <v>24280000</v>
      </c>
      <c r="F9" s="34">
        <f>SUMIF(Atletas!B:B, A9, Atletas!X:X)</f>
        <v>315640000</v>
      </c>
      <c r="G9">
        <v>43.2</v>
      </c>
      <c r="H9" t="s">
        <v>1005</v>
      </c>
      <c r="I9" s="29">
        <v>77577</v>
      </c>
      <c r="J9" s="38">
        <v>78838</v>
      </c>
      <c r="K9" s="37">
        <v>68.06</v>
      </c>
      <c r="L9" s="29">
        <v>51644</v>
      </c>
      <c r="M9" s="30">
        <v>3514821.7</v>
      </c>
      <c r="N9" s="30">
        <v>130048403</v>
      </c>
      <c r="O9" s="37">
        <f xml:space="preserve"> 103 * 1000000</f>
        <v>103000000</v>
      </c>
    </row>
    <row r="10" spans="1:15">
      <c r="A10" t="s">
        <v>666</v>
      </c>
      <c r="B10" t="s">
        <v>635</v>
      </c>
      <c r="C10">
        <v>118</v>
      </c>
      <c r="D10">
        <v>19</v>
      </c>
      <c r="E10" s="34">
        <f>SUMIF(Atletas!B:B, A10, Atletas!I:I)</f>
        <v>20170000</v>
      </c>
      <c r="F10" s="34">
        <f>SUMIF(Atletas!B:B, A10, Atletas!X:X)</f>
        <v>262210000</v>
      </c>
      <c r="G10">
        <v>31.1</v>
      </c>
      <c r="H10" t="s">
        <v>1006</v>
      </c>
      <c r="I10" s="29">
        <v>43000</v>
      </c>
      <c r="J10" s="38">
        <v>49205</v>
      </c>
      <c r="K10" s="37">
        <v>57.32</v>
      </c>
      <c r="L10" s="29">
        <v>42693</v>
      </c>
      <c r="M10" s="30">
        <v>2446942.46</v>
      </c>
      <c r="N10" s="30">
        <v>85642986</v>
      </c>
      <c r="O10" s="37">
        <f xml:space="preserve"> 180 * 1000000</f>
        <v>180000000</v>
      </c>
    </row>
    <row r="11" spans="1:15">
      <c r="A11" t="s">
        <v>325</v>
      </c>
      <c r="B11" t="s">
        <v>961</v>
      </c>
      <c r="C11">
        <v>57</v>
      </c>
      <c r="D11">
        <v>36</v>
      </c>
      <c r="E11" s="34">
        <f>SUMIF(Atletas!B:B, A11, Atletas!I:I)</f>
        <v>15400000</v>
      </c>
      <c r="F11" s="34">
        <f>SUMIF(Atletas!B:B, A11, Atletas!X:X)</f>
        <v>200200000</v>
      </c>
      <c r="G11">
        <v>9.9</v>
      </c>
      <c r="H11" t="s">
        <v>1020</v>
      </c>
      <c r="I11" s="29">
        <v>98153</v>
      </c>
      <c r="J11" s="38">
        <v>60540</v>
      </c>
      <c r="K11" s="37">
        <v>61.38</v>
      </c>
      <c r="L11" s="29">
        <v>22002</v>
      </c>
      <c r="M11" s="30">
        <v>1350509.53</v>
      </c>
      <c r="N11" s="30">
        <v>45917324</v>
      </c>
      <c r="O11" s="37">
        <f>90 * 1000000</f>
        <v>90000000</v>
      </c>
    </row>
    <row r="12" spans="1:15">
      <c r="A12" t="s">
        <v>716</v>
      </c>
      <c r="B12" t="s">
        <v>635</v>
      </c>
      <c r="C12">
        <v>50</v>
      </c>
      <c r="D12">
        <v>33</v>
      </c>
      <c r="E12" s="34">
        <f>SUMIF(Atletas!B:B, A12, Atletas!I:I)</f>
        <v>15880000</v>
      </c>
      <c r="F12" s="34">
        <f>SUMIF(Atletas!B:B, A12, Atletas!X:X)</f>
        <v>206440000</v>
      </c>
      <c r="G12">
        <v>16.3</v>
      </c>
      <c r="H12" t="s">
        <v>1004</v>
      </c>
      <c r="I12" s="29">
        <v>197327</v>
      </c>
      <c r="J12" s="38">
        <v>43713</v>
      </c>
      <c r="K12" s="37">
        <v>83.91</v>
      </c>
      <c r="L12" s="29">
        <v>30490</v>
      </c>
      <c r="M12" s="30">
        <v>2558529.91</v>
      </c>
      <c r="N12" s="30">
        <v>86990017</v>
      </c>
      <c r="O12" s="37">
        <f xml:space="preserve"> 295.1 * 1000000</f>
        <v>295100000</v>
      </c>
    </row>
    <row r="13" spans="1:15">
      <c r="A13" t="s">
        <v>304</v>
      </c>
      <c r="B13" t="s">
        <v>635</v>
      </c>
      <c r="C13">
        <v>28</v>
      </c>
      <c r="D13">
        <v>31</v>
      </c>
      <c r="E13" s="34">
        <f>SUMIF(Atletas!B:B, A13, Atletas!I:I)</f>
        <v>13316000</v>
      </c>
      <c r="F13" s="34">
        <f>SUMIF(Atletas!B:B, A13, Atletas!X:X)</f>
        <v>173108000</v>
      </c>
      <c r="G13">
        <v>15.6</v>
      </c>
      <c r="H13" t="s">
        <v>1010</v>
      </c>
      <c r="I13" s="29">
        <v>57106</v>
      </c>
      <c r="J13" s="38">
        <v>66795</v>
      </c>
      <c r="K13" s="37">
        <v>65.489999999999995</v>
      </c>
      <c r="L13" s="29">
        <v>44088</v>
      </c>
      <c r="M13" s="30">
        <v>2887163.79</v>
      </c>
      <c r="N13" s="30">
        <v>98163569</v>
      </c>
      <c r="O13" s="37">
        <f xml:space="preserve"> 174.1* 1000000</f>
        <v>174100000</v>
      </c>
    </row>
    <row r="14" spans="1:15">
      <c r="A14" t="s">
        <v>576</v>
      </c>
      <c r="B14" t="s">
        <v>960</v>
      </c>
      <c r="C14">
        <v>21</v>
      </c>
      <c r="D14">
        <v>29</v>
      </c>
      <c r="E14" s="34">
        <f>SUMIF(Atletas!B:B, A14, Atletas!I:I)</f>
        <v>11863000</v>
      </c>
      <c r="F14" s="34">
        <f>SUMIF(Atletas!B:B, A14, Atletas!X:X)</f>
        <v>154219000</v>
      </c>
      <c r="G14">
        <v>14.1</v>
      </c>
      <c r="H14" t="s">
        <v>1011</v>
      </c>
      <c r="I14" s="29">
        <v>62153</v>
      </c>
      <c r="J14" s="38">
        <v>24584</v>
      </c>
      <c r="K14" s="37">
        <v>64.91</v>
      </c>
      <c r="L14" s="29">
        <v>21686</v>
      </c>
      <c r="M14" s="30">
        <v>1407571.94</v>
      </c>
      <c r="N14" s="30">
        <v>43634730</v>
      </c>
      <c r="O14" s="37">
        <f xml:space="preserve"> 70* 1000000</f>
        <v>70000000</v>
      </c>
    </row>
    <row r="15" spans="1:15">
      <c r="A15" t="s">
        <v>332</v>
      </c>
      <c r="B15" t="s">
        <v>956</v>
      </c>
      <c r="C15">
        <v>18</v>
      </c>
      <c r="D15">
        <v>32</v>
      </c>
      <c r="E15" s="34">
        <f>SUMIF(Atletas!B:B, A15, Atletas!I:I)</f>
        <v>16052000</v>
      </c>
      <c r="F15" s="34">
        <f>SUMIF(Atletas!B:B, A15, Atletas!X:X)</f>
        <v>208676000</v>
      </c>
      <c r="G15">
        <v>11.6</v>
      </c>
      <c r="H15" t="s">
        <v>1012</v>
      </c>
      <c r="I15" s="29">
        <v>81004</v>
      </c>
      <c r="J15" s="38">
        <v>61927</v>
      </c>
      <c r="K15" s="37">
        <v>53.34</v>
      </c>
      <c r="L15" s="29">
        <v>32890</v>
      </c>
      <c r="M15" s="30">
        <v>1754414.7</v>
      </c>
      <c r="N15" s="30">
        <v>52632441</v>
      </c>
      <c r="O15" s="37">
        <f>80* 1000000</f>
        <v>80000000</v>
      </c>
    </row>
    <row r="16" spans="1:15">
      <c r="A16" t="s">
        <v>321</v>
      </c>
      <c r="B16" t="s">
        <v>956</v>
      </c>
      <c r="C16">
        <v>16</v>
      </c>
      <c r="D16">
        <v>30</v>
      </c>
      <c r="E16" s="34">
        <f>SUMIF(Atletas!B:B, A16, Atletas!I:I)</f>
        <v>12742222</v>
      </c>
      <c r="F16" s="34">
        <f>SUMIF(Atletas!B:B, A16, Atletas!X:X)</f>
        <v>165648886</v>
      </c>
      <c r="G16">
        <v>8.6</v>
      </c>
      <c r="H16" t="s">
        <v>1008</v>
      </c>
      <c r="I16" s="29">
        <v>113169</v>
      </c>
      <c r="J16" s="38">
        <v>46000</v>
      </c>
      <c r="K16" s="37">
        <v>76.16</v>
      </c>
      <c r="L16" s="29">
        <v>31962</v>
      </c>
      <c r="M16" s="30">
        <v>2434137.1800000002</v>
      </c>
      <c r="N16" s="30">
        <v>80326527</v>
      </c>
      <c r="O16" s="37">
        <f>60* 1000000</f>
        <v>60000000</v>
      </c>
    </row>
    <row r="17" spans="1:15">
      <c r="A17" t="s">
        <v>315</v>
      </c>
      <c r="B17" t="s">
        <v>961</v>
      </c>
      <c r="C17">
        <v>16</v>
      </c>
      <c r="D17">
        <v>30</v>
      </c>
      <c r="E17" s="34">
        <f>SUMIF(Atletas!B:B, A17, Atletas!I:I)</f>
        <v>17425000</v>
      </c>
      <c r="F17" s="34">
        <f>SUMIF(Atletas!B:B, A17, Atletas!X:X)</f>
        <v>226525000</v>
      </c>
      <c r="G17">
        <v>6.2</v>
      </c>
      <c r="H17" t="s">
        <v>1009</v>
      </c>
      <c r="I17" s="29">
        <v>107265</v>
      </c>
      <c r="J17" s="38">
        <v>50848</v>
      </c>
      <c r="K17" s="37">
        <v>42.82</v>
      </c>
      <c r="L17" s="29">
        <v>29526</v>
      </c>
      <c r="M17" s="30">
        <v>1264198.8999999999</v>
      </c>
      <c r="N17" s="30">
        <v>37925967</v>
      </c>
      <c r="O17" s="37">
        <f>135* 1000000</f>
        <v>135000000</v>
      </c>
    </row>
    <row r="18" spans="1:15">
      <c r="A18" t="s">
        <v>326</v>
      </c>
      <c r="B18" t="s">
        <v>960</v>
      </c>
      <c r="C18">
        <v>15</v>
      </c>
      <c r="D18">
        <v>33</v>
      </c>
      <c r="E18" s="34">
        <f>SUMIF(Atletas!B:B, A18, Atletas!I:I)</f>
        <v>23012000</v>
      </c>
      <c r="F18" s="34">
        <f>SUMIF(Atletas!B:B, A18, Atletas!X:X)</f>
        <v>299156000</v>
      </c>
      <c r="G18">
        <v>6.2</v>
      </c>
      <c r="H18" t="s">
        <v>1007</v>
      </c>
      <c r="I18" s="29">
        <v>80977</v>
      </c>
      <c r="J18" s="38">
        <v>46931</v>
      </c>
      <c r="K18" s="37">
        <v>63.08</v>
      </c>
      <c r="L18" s="29">
        <v>22467</v>
      </c>
      <c r="M18" s="30">
        <v>1417292.03</v>
      </c>
      <c r="N18" s="30">
        <v>52439805</v>
      </c>
      <c r="O18" s="37">
        <f>100* 1000000</f>
        <v>100000000</v>
      </c>
    </row>
    <row r="19" spans="1:15">
      <c r="A19" t="s">
        <v>314</v>
      </c>
      <c r="B19" t="s">
        <v>960</v>
      </c>
      <c r="C19">
        <v>11</v>
      </c>
      <c r="D19">
        <v>30</v>
      </c>
      <c r="E19" s="34">
        <f>SUMIF(Atletas!B:B, A19, Atletas!I:I)</f>
        <v>18175000</v>
      </c>
      <c r="F19" s="34">
        <f>SUMIF(Atletas!B:B, A19, Atletas!X:X)</f>
        <v>236275000</v>
      </c>
      <c r="G19">
        <v>6</v>
      </c>
      <c r="H19" t="s">
        <v>1005</v>
      </c>
      <c r="I19" s="29">
        <v>49950</v>
      </c>
      <c r="J19" s="38">
        <v>78838</v>
      </c>
      <c r="K19" s="37">
        <v>47.08</v>
      </c>
      <c r="L19" s="29">
        <v>31699</v>
      </c>
      <c r="M19" s="30">
        <v>1492477.24</v>
      </c>
      <c r="N19" s="30">
        <v>50744226</v>
      </c>
      <c r="O19" s="37">
        <f>80* 1000000</f>
        <v>80000000</v>
      </c>
    </row>
    <row r="20" spans="1:15">
      <c r="A20" t="s">
        <v>324</v>
      </c>
      <c r="B20" t="s">
        <v>959</v>
      </c>
      <c r="C20">
        <v>5</v>
      </c>
      <c r="D20">
        <v>18</v>
      </c>
      <c r="E20" s="34">
        <f>SUMIF(Atletas!B:B, A20, Atletas!I:I)</f>
        <v>15422152</v>
      </c>
      <c r="F20" s="34">
        <f>SUMIF(Atletas!B:B, A20, Atletas!X:X)</f>
        <v>200487976</v>
      </c>
      <c r="G20">
        <v>6</v>
      </c>
      <c r="H20" t="s">
        <v>1013</v>
      </c>
      <c r="I20" s="29">
        <v>75000</v>
      </c>
      <c r="J20" s="38">
        <v>47364</v>
      </c>
      <c r="K20" s="37">
        <v>33.880000000000003</v>
      </c>
      <c r="L20" s="29">
        <v>34214</v>
      </c>
      <c r="M20" s="30">
        <v>1159180.8899999999</v>
      </c>
      <c r="N20" s="30">
        <v>40571331</v>
      </c>
      <c r="O20" s="37">
        <f>50* 1000000</f>
        <v>50000000</v>
      </c>
    </row>
    <row r="21" spans="1:15">
      <c r="A21" t="s">
        <v>624</v>
      </c>
      <c r="B21" t="s">
        <v>955</v>
      </c>
      <c r="C21">
        <v>5</v>
      </c>
      <c r="D21">
        <v>13</v>
      </c>
      <c r="E21" s="34">
        <f>SUMIF(Atletas!B:B, A21, Atletas!I:I)</f>
        <v>7563000</v>
      </c>
      <c r="F21" s="34">
        <f>SUMIF(Atletas!B:B, A21, Atletas!X:X)</f>
        <v>98319000</v>
      </c>
      <c r="G21">
        <v>3.4</v>
      </c>
      <c r="H21" t="s">
        <v>1014</v>
      </c>
      <c r="I21" s="29">
        <v>43860</v>
      </c>
      <c r="J21" s="38">
        <v>60326</v>
      </c>
      <c r="K21" s="37">
        <v>21.29</v>
      </c>
      <c r="L21" s="29">
        <v>30221</v>
      </c>
      <c r="M21" s="30">
        <v>643266.73</v>
      </c>
      <c r="N21" s="30">
        <v>23800869</v>
      </c>
      <c r="O21" s="37">
        <f>40* 1000000</f>
        <v>40000000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Atletas</vt:lpstr>
      <vt:lpstr>Clube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NUNES DA COSTA</dc:creator>
  <cp:lastModifiedBy>Predator</cp:lastModifiedBy>
  <dcterms:created xsi:type="dcterms:W3CDTF">2025-01-06T22:01:56Z</dcterms:created>
  <dcterms:modified xsi:type="dcterms:W3CDTF">2026-10-01T20:07:59Z</dcterms:modified>
</cp:coreProperties>
</file>